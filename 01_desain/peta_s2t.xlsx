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istem Informasi\Semester 7\Data Warehouse\Tugas Kelompok 1\01_desain\"/>
    </mc:Choice>
  </mc:AlternateContent>
  <xr:revisionPtr revIDLastSave="0" documentId="13_ncr:1_{861F07D6-0FF8-47E9-846D-0930E511BA6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ta S2T" sheetId="1" r:id="rId1"/>
    <sheet name="Kolom target lain" sheetId="2" r:id="rId2"/>
    <sheet name="Ringkasan" sheetId="3" r:id="rId3"/>
    <sheet name="Petunjuk" sheetId="4" r:id="rId4"/>
  </sheets>
  <definedNames>
    <definedName name="_xlnm._FilterDatabase" localSheetId="1" hidden="1">'Kolom target lain'!$A$1:$H$56</definedName>
    <definedName name="_xlnm._FilterDatabase" localSheetId="0" hidden="1">'Peta S2T'!$A$1:$H$154</definedName>
    <definedName name="_xlnm.Print_Titles" localSheetId="1">'Kolom target lain'!$1:$1</definedName>
    <definedName name="_xlnm.Print_Titles" localSheetId="0">'Peta S2T'!$1:$1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3" l="1"/>
  <c r="B36" i="3"/>
  <c r="B35" i="3"/>
  <c r="B34" i="3"/>
  <c r="B33" i="3"/>
  <c r="B32" i="3"/>
  <c r="C29" i="3"/>
  <c r="F28" i="3"/>
  <c r="E37" i="3" s="1"/>
  <c r="E28" i="3"/>
  <c r="D37" i="3" s="1"/>
  <c r="D28" i="3"/>
  <c r="C37" i="3" s="1"/>
  <c r="F27" i="3"/>
  <c r="E36" i="3" s="1"/>
  <c r="E27" i="3"/>
  <c r="D36" i="3" s="1"/>
  <c r="D27" i="3"/>
  <c r="G27" i="3" s="1"/>
  <c r="F26" i="3"/>
  <c r="E26" i="3"/>
  <c r="D26" i="3"/>
  <c r="G26" i="3" s="1"/>
  <c r="F25" i="3"/>
  <c r="E25" i="3"/>
  <c r="D25" i="3"/>
  <c r="G25" i="3" s="1"/>
  <c r="F24" i="3"/>
  <c r="E35" i="3" s="1"/>
  <c r="E24" i="3"/>
  <c r="D24" i="3"/>
  <c r="C35" i="3" s="1"/>
  <c r="F23" i="3"/>
  <c r="E34" i="3" s="1"/>
  <c r="E23" i="3"/>
  <c r="D34" i="3" s="1"/>
  <c r="D23" i="3"/>
  <c r="G23" i="3" s="1"/>
  <c r="F22" i="3"/>
  <c r="E22" i="3"/>
  <c r="D22" i="3"/>
  <c r="G22" i="3" s="1"/>
  <c r="F21" i="3"/>
  <c r="E21" i="3"/>
  <c r="D21" i="3"/>
  <c r="G21" i="3" s="1"/>
  <c r="F20" i="3"/>
  <c r="E20" i="3"/>
  <c r="D20" i="3"/>
  <c r="G20" i="3" s="1"/>
  <c r="F19" i="3"/>
  <c r="E19" i="3"/>
  <c r="D19" i="3"/>
  <c r="G19" i="3" s="1"/>
  <c r="F18" i="3"/>
  <c r="E18" i="3"/>
  <c r="D18" i="3"/>
  <c r="G18" i="3" s="1"/>
  <c r="F17" i="3"/>
  <c r="E17" i="3"/>
  <c r="D17" i="3"/>
  <c r="G17" i="3" s="1"/>
  <c r="F16" i="3"/>
  <c r="E33" i="3" s="1"/>
  <c r="E16" i="3"/>
  <c r="D16" i="3"/>
  <c r="F15" i="3"/>
  <c r="E15" i="3"/>
  <c r="D15" i="3"/>
  <c r="G15" i="3" s="1"/>
  <c r="F14" i="3"/>
  <c r="E14" i="3"/>
  <c r="D14" i="3"/>
  <c r="G14" i="3" s="1"/>
  <c r="F13" i="3"/>
  <c r="E13" i="3"/>
  <c r="D13" i="3"/>
  <c r="G13" i="3" s="1"/>
  <c r="F12" i="3"/>
  <c r="E12" i="3"/>
  <c r="D12" i="3"/>
  <c r="G12" i="3" s="1"/>
  <c r="F11" i="3"/>
  <c r="E11" i="3"/>
  <c r="D11" i="3"/>
  <c r="G11" i="3" s="1"/>
  <c r="F10" i="3"/>
  <c r="E10" i="3"/>
  <c r="D10" i="3"/>
  <c r="G10" i="3" s="1"/>
  <c r="F9" i="3"/>
  <c r="E9" i="3"/>
  <c r="D9" i="3"/>
  <c r="G9" i="3" s="1"/>
  <c r="F8" i="3"/>
  <c r="E8" i="3"/>
  <c r="D8" i="3"/>
  <c r="G8" i="3" s="1"/>
  <c r="F7" i="3"/>
  <c r="E7" i="3"/>
  <c r="D7" i="3"/>
  <c r="G7" i="3" s="1"/>
  <c r="F6" i="3"/>
  <c r="E6" i="3"/>
  <c r="D6" i="3"/>
  <c r="G6" i="3" s="1"/>
  <c r="F5" i="3"/>
  <c r="E5" i="3"/>
  <c r="D5" i="3"/>
  <c r="G5" i="3" s="1"/>
  <c r="E29" i="3" l="1"/>
  <c r="C33" i="3"/>
  <c r="F29" i="3"/>
  <c r="D33" i="3"/>
  <c r="D35" i="3"/>
  <c r="C36" i="3"/>
  <c r="C32" i="3"/>
  <c r="C34" i="3"/>
  <c r="G16" i="3"/>
  <c r="G24" i="3"/>
  <c r="G28" i="3"/>
  <c r="D32" i="3"/>
  <c r="E32" i="3"/>
  <c r="D29" i="3"/>
  <c r="G2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Kelompok</author>
  </authors>
  <commentList>
    <comment ref="G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Aturan diambil dari dokumen "Langkah Pengerjaan Tugas DW NRG" Tahap 3 dan Tahap 4; angka bukti dari profiling berkas di folder Data.</t>
        </r>
      </text>
    </comment>
  </commentList>
</comments>
</file>

<file path=xl/sharedStrings.xml><?xml version="1.0" encoding="utf-8"?>
<sst xmlns="http://schemas.openxmlformats.org/spreadsheetml/2006/main" count="1778" uniqueCount="582">
  <si>
    <t>Tabel target</t>
  </si>
  <si>
    <t>Kolom target</t>
  </si>
  <si>
    <t>Tipe</t>
  </si>
  <si>
    <t>Sumber</t>
  </si>
  <si>
    <t>Berkas/tabel</t>
  </si>
  <si>
    <t>Kolom sumber</t>
  </si>
  <si>
    <t>Transformasi</t>
  </si>
  <si>
    <t>Step Pentaho</t>
  </si>
  <si>
    <t>dim_produk</t>
  </si>
  <si>
    <t>(kunci lookup)</t>
  </si>
  <si>
    <t>—</t>
  </si>
  <si>
    <t>S1</t>
  </si>
  <si>
    <t>categories</t>
  </si>
  <si>
    <t>category_id</t>
  </si>
  <si>
    <t>Kunci Stream lookup dari products.category_id untuk kategori dan sub_kategori baris inferred (produk yang belum ada di S4).</t>
  </si>
  <si>
    <t>t20: Stream lookup</t>
  </si>
  <si>
    <t>kategori</t>
  </si>
  <si>
    <t>VARCHAR(60)</t>
  </si>
  <si>
    <t>parent_category_id</t>
  </si>
  <si>
    <t>Self-lookup ke categories: kategori = category_name induk (Elektronik, Furnitur, Pakaian); hanya untuk baris inferred.</t>
  </si>
  <si>
    <t>sub_kategori</t>
  </si>
  <si>
    <t>category_name</t>
  </si>
  <si>
    <t>Trim; sub_kategori baris inferred = category_name produk (mis. Smartphone). Sembilan nama sub-kategori S1 sama dengan sub_kategori S4.</t>
  </si>
  <si>
    <t>dim_pelanggan</t>
  </si>
  <si>
    <t>customer_id_web</t>
  </si>
  <si>
    <t>INT</t>
  </si>
  <si>
    <t>customers</t>
  </si>
  <si>
    <t>customer_id</t>
  </si>
  <si>
    <t>Langsung; is_pelanggan_web = 'Y'. Juga kunci lookup pelanggan_key di fakta S1.</t>
  </si>
  <si>
    <t>t14: Table input, Merge join</t>
  </si>
  <si>
    <t>nama</t>
  </si>
  <si>
    <t>VARCHAR(120)</t>
  </si>
  <si>
    <t>full_name</t>
  </si>
  <si>
    <t>Trim. Untuk orang yang juga member (HP sama), nama S1 diutamakan karena nama member ditulis kapital.</t>
  </si>
  <si>
    <t>t14: String operations</t>
  </si>
  <si>
    <t>(tidak dipakai)</t>
  </si>
  <si>
    <t>email</t>
  </si>
  <si>
    <t>Data pribadi; tidak dibutuhkan empat pertanyaan (pencocokan pelanggan memakai HP).</t>
  </si>
  <si>
    <t>no_hp_normal</t>
  </si>
  <si>
    <t>VARCHAR(20)</t>
  </si>
  <si>
    <t>phone</t>
  </si>
  <si>
    <t>Baca sebagai String. Ambil digit, buang awalan 62 atau 0, tambah 0 (+6281234834227 → 081234834227). Kunci gabung dengan member S2: 200 HP sama (customer_id 401–600 = M-0401 s.d. M-0600).</t>
  </si>
  <si>
    <t>t14: Calculator, Replace in string</t>
  </si>
  <si>
    <t>gender</t>
  </si>
  <si>
    <t>CHAR(1)</t>
  </si>
  <si>
    <t>Langsung (L/P). Member S2 dan pembeli S3 tidak punya gender → NULL.</t>
  </si>
  <si>
    <t>t14: Select values</t>
  </si>
  <si>
    <t>birth_date</t>
  </si>
  <si>
    <t>Tidak ada analisis usia di empat pertanyaan.</t>
  </si>
  <si>
    <t>registered_at</t>
  </si>
  <si>
    <t>Tanggal daftar akun tidak dibutuhkan empat pertanyaan.</t>
  </si>
  <si>
    <t>customer_addresses</t>
  </si>
  <si>
    <t>address_id</t>
  </si>
  <si>
    <t>Kota pelanggan diambil dari alamat is_primary, bukan alamat kirim per order; ID alamat tidak dibutuhkan.</t>
  </si>
  <si>
    <t>(kunci join)</t>
  </si>
  <si>
    <t>Join ke customers.customer_id; 144 dari 600 pelanggan punya 2 alamat (Rumah dan Kantor), diambil yang is_primary.</t>
  </si>
  <si>
    <t>t14: Stream lookup</t>
  </si>
  <si>
    <t>label</t>
  </si>
  <si>
    <t>Rumah/Kantor; pemilihan alamat memakai is_primary.</t>
  </si>
  <si>
    <t>address_line</t>
  </si>
  <si>
    <t>Detail alamat (data pribadi) tidak dibutuhkan; analisis cukup sampai kota.</t>
  </si>
  <si>
    <t>kota</t>
  </si>
  <si>
    <t>city</t>
  </si>
  <si>
    <t>Kota alamat is_primary = 1 (tepat 1 per pelanggan); nilainya sudah sama dengan ref_kota.kota_baku. Untuk pelanggan web + member dipakai kota ini (200 orang, kotanya sama dengan kota member).</t>
  </si>
  <si>
    <t>t14: Filter rows, Stream lookup</t>
  </si>
  <si>
    <t>province</t>
  </si>
  <si>
    <t>dim_pelanggan hanya menyimpan kota.</t>
  </si>
  <si>
    <t>postal_code</t>
  </si>
  <si>
    <t>Tidak dibutuhkan empat pertanyaan. Catatan: bila dibaca pandas sebagai angka, 87 kode pos kehilangan nol di depan.</t>
  </si>
  <si>
    <t>(filter)</t>
  </si>
  <si>
    <t>is_primary</t>
  </si>
  <si>
    <t>Filter is_primary = 1 (True) sebelum mengambil kota.</t>
  </si>
  <si>
    <t>t14: Filter rows</t>
  </si>
  <si>
    <t>products</t>
  </si>
  <si>
    <t>product_id</t>
  </si>
  <si>
    <t>ID internal web; pemetaan produk lintas sumber memakai sku.</t>
  </si>
  <si>
    <t>map_produk</t>
  </si>
  <si>
    <t>kode_produk_sumber</t>
  </si>
  <si>
    <t>VARCHAR(40)</t>
  </si>
  <si>
    <t>sku</t>
  </si>
  <si>
    <t>sumber_sistem = 'S1'; material_no = 'P-' + angka tengah sku (regex ^SKU-(\d{4})-\d{3}$, SKU-1001-996 → P-1001). SKU-NEWARR-001 tidak cocok → material_no NULL (produk inferred di t20).</t>
  </si>
  <si>
    <t>t11: Regex evaluation, Append streams, Table output</t>
  </si>
  <si>
    <t>Join ke categories untuk kategori dan sub_kategori baris inferred.</t>
  </si>
  <si>
    <t>nama_produk</t>
  </si>
  <si>
    <t>VARCHAR(150)</t>
  </si>
  <si>
    <t>product_name</t>
  </si>
  <si>
    <t>Hanya untuk baris inferred (SKU-NEWARR-001); produk lain memakai nama S4 yang identik. Juga disalin ke map_produk.nama_produk_sumber.</t>
  </si>
  <si>
    <t>t20: Stream lookup; t11: Table output</t>
  </si>
  <si>
    <t>brand</t>
  </si>
  <si>
    <t>Hanya untuk baris inferred; produk lain memakai brand S4 (identik).</t>
  </si>
  <si>
    <t>base_price</t>
  </si>
  <si>
    <t>Harga katalog termasuk PPN; harga fakta diambil dari order_items.unit_price (selalu sama).</t>
  </si>
  <si>
    <t>is_active</t>
  </si>
  <si>
    <t>Semua True; status produk memakai S4.</t>
  </si>
  <si>
    <t>dim_kampanye</t>
  </si>
  <si>
    <t>voucher_id_web</t>
  </si>
  <si>
    <t>vouchers</t>
  </si>
  <si>
    <t>voucher_id</t>
  </si>
  <si>
    <t>Dicocokkan ke kampanye S5 bersih lewat promo_code + valid_from = kode_promo + tgl_mulai (15 cocok). voucher_id 3 (GAJIAN25 periode 1) tidak punya pasangan karena barisnya masuk err_kampanye.</t>
  </si>
  <si>
    <t>t15: Stream lookup, Insert / update</t>
  </si>
  <si>
    <t>promo_code</t>
  </si>
  <si>
    <t>Trim + upper, lalu dicocokkan dengan kode_promo S5 bersama valid_from; 6 kode promo dipakai di 2 periode, jadi kode saja tidak cukup.</t>
  </si>
  <si>
    <t>t15: String operations, Stream lookup</t>
  </si>
  <si>
    <t>discount_type</t>
  </si>
  <si>
    <t>Semua PERCENT.</t>
  </si>
  <si>
    <t>discount_value</t>
  </si>
  <si>
    <t>Persen kampanye diambil dari S5 target_diskon_persen; hanya untuk cek silang: 15 voucher bernilai sama dengan S5, voucher 3 (GAJIAN25, 10) di S5 tertulis 'sepuluh'.</t>
  </si>
  <si>
    <t>min_purchase</t>
  </si>
  <si>
    <t>Syarat belanja minimum tidak dibutuhkan empat pertanyaan.</t>
  </si>
  <si>
    <t>quota</t>
  </si>
  <si>
    <t>Kuota voucher tidak dibutuhkan empat pertanyaan.</t>
  </si>
  <si>
    <t>valid_from</t>
  </si>
  <si>
    <t>Bersama promo_code dicocokkan ke tgl_mulai S5 (kampanye = kode + tanggal mulai).</t>
  </si>
  <si>
    <t>t15: Stream lookup</t>
  </si>
  <si>
    <t>valid_to</t>
  </si>
  <si>
    <t>tgl_selesai diambil dari S5. Hanya untuk mencatat anomali: hanya 55 dari 1.071 order bervoucher terjadi dalam masa berlaku vouchernya.</t>
  </si>
  <si>
    <t>fact_penjualan</t>
  </si>
  <si>
    <t>orders</t>
  </si>
  <si>
    <t>order_id</t>
  </si>
  <si>
    <t>Join order_items.order_id = orders.order_id untuk status, waktu, pelanggan, dan voucher.</t>
  </si>
  <si>
    <t>t20: Table input, Merge join</t>
  </si>
  <si>
    <t>pelanggan_key</t>
  </si>
  <si>
    <t>Lookup dim_pelanggan.customer_id_web → pelanggan_key; tidak ketemu → -1 (Tidak diketahui).</t>
  </si>
  <si>
    <t>t20: Database lookup</t>
  </si>
  <si>
    <t>waktu_wib</t>
  </si>
  <si>
    <t>DATETIME</t>
  </si>
  <si>
    <t>order_ts</t>
  </si>
  <si>
    <t>Tanpa zona waktu, dianggap sudah WIB (dipakai apa adanya). Juga: tanggal_key = yyyyMMdd dari order_ts; tanggal order dipakai mencari HPP versi berlaku.</t>
  </si>
  <si>
    <t>t20: Select values, Calculator</t>
  </si>
  <si>
    <t>status</t>
  </si>
  <si>
    <t>Buang DIBATALKAN (194 order, semuanya tanpa pembayaran); SELESAI, DIKIRIM, dan RETUR dimuat.</t>
  </si>
  <si>
    <t>t20: Filter rows</t>
  </si>
  <si>
    <t>kampanye_key</t>
  </si>
  <si>
    <t>Lookup dim_kampanye.voucher_id_web → kampanye_key untuk semua baris order; kosong → 0 (Tanpa kampanye); voucher_id 3 (GAJIAN25 periode 1, gagal validasi S5) → -1 (Tidak diketahui).</t>
  </si>
  <si>
    <t>t20: Database lookup, If field value is null</t>
  </si>
  <si>
    <t>payment_method</t>
  </si>
  <si>
    <t>Metode bayar tidak dibutuhkan empat pertanyaan.</t>
  </si>
  <si>
    <t>shipping_fee</t>
  </si>
  <si>
    <t>Ongkos kirim bukan penjualan barang; grain item tidak memuat ongkir.</t>
  </si>
  <si>
    <t>shipping_address_id</t>
  </si>
  <si>
    <t>Kota pelanggan memakai alamat is_primary (ORD-9999 bahkan tanpa alamat kirim).</t>
  </si>
  <si>
    <t>order_items</t>
  </si>
  <si>
    <t>order_item_id</t>
  </si>
  <si>
    <t>Kunci lookup ke order_returns.order_item_id untuk qty_retur dan nilai_retur.</t>
  </si>
  <si>
    <t>no_transaksi</t>
  </si>
  <si>
    <t>VARCHAR(30)</t>
  </si>
  <si>
    <t>Langsung (ORD-1001); bersama sumber_sistem = 'S1' dan no_baris membentuk kunci unik.</t>
  </si>
  <si>
    <t>t20: Table output</t>
  </si>
  <si>
    <t>no_baris</t>
  </si>
  <si>
    <t>SMALLINT</t>
  </si>
  <si>
    <t>line_no</t>
  </si>
  <si>
    <t>Langsung.</t>
  </si>
  <si>
    <t>Produk dipetakan lewat sku → map_produk; product_id hanya ID internal web.</t>
  </si>
  <si>
    <t>produk_key</t>
  </si>
  <si>
    <t>sku → map_produk (S1) → material_no → dim_produk versi yang berlaku pada tanggal order (berlaku_mulai ≤ tanggal &lt; berlaku_sampai). Tidak ketemu (SKU-NEWARR-001 di ORD-9999) → sisipkan baris inferred (is_inferred = 'Y', material_no = sku, atribut katalog S1, harga_pokok NULL) lalu pakai kuncinya.</t>
  </si>
  <si>
    <t>t20: Stream lookup, Dimension lookup/update (lookup)</t>
  </si>
  <si>
    <t>qty</t>
  </si>
  <si>
    <t>DECIMAL(18,2)</t>
  </si>
  <si>
    <t>Langsung. Dipakai di penjualan_kotor = qty × harga_satuan dan total_hpp = qty × hpp_satuan.</t>
  </si>
  <si>
    <t>t20: Calculator</t>
  </si>
  <si>
    <t>harga_satuan</t>
  </si>
  <si>
    <t>unit_price</t>
  </si>
  <si>
    <t>÷ 1,11, DECIMAL(18,2) (harga web termasuk PPN 11%; harga web = harga toko × 1,11).</t>
  </si>
  <si>
    <t>diskon</t>
  </si>
  <si>
    <t>disc_amount</t>
  </si>
  <si>
    <t>÷ 1,11 (diskon voucher termasuk PPN, hanya ada di baris pertama order); kosong → 0.</t>
  </si>
  <si>
    <t>order_status_history</t>
  </si>
  <si>
    <t>history_id</t>
  </si>
  <si>
    <t>Riwayat status tidak dimodelkan; status akhir diambil dari orders.status.</t>
  </si>
  <si>
    <t>Riwayat status tidak dimodelkan.</t>
  </si>
  <si>
    <t>Status akhir sudah ada di orders.status.</t>
  </si>
  <si>
    <t>changed_at</t>
  </si>
  <si>
    <t>Waktu perubahan status tidak dibutuhkan; waktu transaksi = orders.order_ts.</t>
  </si>
  <si>
    <t>payments</t>
  </si>
  <si>
    <t>payment_id</t>
  </si>
  <si>
    <t>Pembayaran tidak dimodelkan; tidak dibutuhkan empat pertanyaan.</t>
  </si>
  <si>
    <t>Pembayaran tidak dimodelkan.</t>
  </si>
  <si>
    <t>provider</t>
  </si>
  <si>
    <t>Penyedia pembayaran tidak dibutuhkan empat pertanyaan.</t>
  </si>
  <si>
    <t>amount</t>
  </si>
  <si>
    <t>Total bayar = item + ongkir, termasuk PPN; fakta dihitung per item dari order_items. Boleh dipakai untuk rekonsiliasi di t30.</t>
  </si>
  <si>
    <t>paid_at</t>
  </si>
  <si>
    <t>Waktu transaksi memakai orders.order_ts.</t>
  </si>
  <si>
    <t>Semua SUCCESS; 194 order DIBATALKAN dan ORD-9999 tidak punya baris pembayaran.</t>
  </si>
  <si>
    <t>shipments</t>
  </si>
  <si>
    <t>shipment_id</t>
  </si>
  <si>
    <t>Pengiriman tidak dimodelkan; tidak dibutuhkan empat pertanyaan.</t>
  </si>
  <si>
    <t>Pengiriman tidak dimodelkan.</t>
  </si>
  <si>
    <t>courier</t>
  </si>
  <si>
    <t>Kurir tidak dibutuhkan empat pertanyaan.</t>
  </si>
  <si>
    <t>tracking_no</t>
  </si>
  <si>
    <t>Tidak dibutuhkan empat pertanyaan.</t>
  </si>
  <si>
    <t>shipped_at</t>
  </si>
  <si>
    <t>Tanggal kirim tidak dibutuhkan; tanggal penjualan = order_ts.</t>
  </si>
  <si>
    <t>delivered_at</t>
  </si>
  <si>
    <t>Tanggal terima tidak dibutuhkan (420 kosong karena belum diterima).</t>
  </si>
  <si>
    <t>order_returns</t>
  </si>
  <si>
    <t>return_id</t>
  </si>
  <si>
    <t>ID retur tidak dibutuhkan; retur ditempelkan ke baris item asalnya.</t>
  </si>
  <si>
    <t>Join ke order_items.order_item_id; tiap order RETUR hanya 1 item yang diretur (106 baris).</t>
  </si>
  <si>
    <t>qty_retur</t>
  </si>
  <si>
    <t>Langsung; baris tanpa retur = 0. Asumsi: retur DISETUJUI (60) dan DIPROSES (46) sama-sama dihitung.</t>
  </si>
  <si>
    <t>t20: Stream lookup, If field value is null</t>
  </si>
  <si>
    <t>reason</t>
  </si>
  <si>
    <t>Alasan retur tidak dibutuhkan empat pertanyaan.</t>
  </si>
  <si>
    <t>nilai_retur</t>
  </si>
  <si>
    <t>refund_amount</t>
  </si>
  <si>
    <t>÷ 1,11 (refund = unit_price × qty retur, termasuk PPN, belum dikurangi diskon); baris tanpa retur = 0.</t>
  </si>
  <si>
    <t>Status retur tidak disimpan; asumsi semua retur dihitung (konfirmasi ke dosen).</t>
  </si>
  <si>
    <t>requested_at</t>
  </si>
  <si>
    <t>Retur dicatat pada baris penjualan asal (tanggal order), bukan tanggal pengajuan retur.</t>
  </si>
  <si>
    <t>S2</t>
  </si>
  <si>
    <t>store_master.csv</t>
  </si>
  <si>
    <t>store_id</t>
  </si>
  <si>
    <t>Kunci internal POS; dim_toko_kanal memakai store_code sebagai kunci natural.</t>
  </si>
  <si>
    <t>dim_toko_kanal</t>
  </si>
  <si>
    <t>kode_toko</t>
  </si>
  <si>
    <t>VARCHAR(10)</t>
  </si>
  <si>
    <t>store_code</t>
  </si>
  <si>
    <t>Langsung (TS01–TS42); kanal = 'Toko Fisik', sub_kanal = 'Toko Fisik'. Kunci lookup toko_kanal_key fakta S2. Master toko memakai separator koma dan enclosure ".</t>
  </si>
  <si>
    <t>t13: CSV file input, Table output</t>
  </si>
  <si>
    <t>nama_toko</t>
  </si>
  <si>
    <t>VARCHAR(100)</t>
  </si>
  <si>
    <t>store_name</t>
  </si>
  <si>
    <t>Trim.</t>
  </si>
  <si>
    <t>t13: String operations</t>
  </si>
  <si>
    <t>Sudah baku; tetap dicek lewat Stream lookup ref_kota memakai UPPER(city) (12 kota cocok).</t>
  </si>
  <si>
    <t>t13: Stream lookup (ref_kota)</t>
  </si>
  <si>
    <t>provinsi</t>
  </si>
  <si>
    <t>t13: Table output</t>
  </si>
  <si>
    <t>format_toko</t>
  </si>
  <si>
    <t>Langsung (Mall, Ruko, Standalone).</t>
  </si>
  <si>
    <t>opened_at</t>
  </si>
  <si>
    <t>Tanggal buka toko tidak dibutuhkan empat pertanyaan.</t>
  </si>
  <si>
    <t>employee_master.csv</t>
  </si>
  <si>
    <t>employee_id</t>
  </si>
  <si>
    <t>Pegawai dan kasir tidak dimodelkan; tidak dibutuhkan empat pertanyaan.</t>
  </si>
  <si>
    <t>employee_code</t>
  </si>
  <si>
    <t>Pegawai dan kasir tidak dimodelkan.</t>
  </si>
  <si>
    <t>Data pribadi pegawai; tidak dimodelkan.</t>
  </si>
  <si>
    <t>position</t>
  </si>
  <si>
    <t>Jabatan pegawai tidak dibutuhkan empat pertanyaan.</t>
  </si>
  <si>
    <t>hired_at</t>
  </si>
  <si>
    <t>Tanggal masuk pegawai tidak dibutuhkan empat pertanyaan.</t>
  </si>
  <si>
    <t>member_no</t>
  </si>
  <si>
    <t>member.csv</t>
  </si>
  <si>
    <t>Langsung; is_member_toko = 'Y'. Kunci lookup pelanggan_key fakta S2. member.csv memakai separator titik koma.</t>
  </si>
  <si>
    <t>t14: Text file input, Merge join</t>
  </si>
  <si>
    <t>member_name</t>
  </si>
  <si>
    <t>Trim; dipakai hanya bila orang tersebut bukan pelanggan web (nama S1 diutamakan). Boleh InitCap karena ditulis kapital.</t>
  </si>
  <si>
    <t>hp</t>
  </si>
  <si>
    <t>Ambil digit, buang awalan 62 atau 0, tambah 0 (180 HP tanpa 0 di depan). Full outer join dengan HP S1 untuk menggabungkan pelanggan web dan member.</t>
  </si>
  <si>
    <t>t14: Calculator, Replace in string, Merge join (full outer)</t>
  </si>
  <si>
    <t>Stream lookup ke ref_kota (alias → kota_baku), mis. MKS → Makassar, Jaksel → Jakarta Selatan; dipakai bila orang itu bukan pelanggan web.</t>
  </si>
  <si>
    <t>t14: Stream lookup (ref_kota)</t>
  </si>
  <si>
    <t>join_date</t>
  </si>
  <si>
    <t>Tanggal bergabung member tidak dibutuhkan empat pertanyaan.</t>
  </si>
  <si>
    <t>product_master_local.csv</t>
  </si>
  <si>
    <t>item_code</t>
  </si>
  <si>
    <t>sumber_sistem = 'S2'; material_no = item_code (formatnya sudah sama dengan S4, P-1001).</t>
  </si>
  <si>
    <t>t11: CSV file input, Append streams, Table output</t>
  </si>
  <si>
    <t>barcode</t>
  </si>
  <si>
    <t>Produk dipetakan lewat item_code.</t>
  </si>
  <si>
    <t>nama_produk_sumber</t>
  </si>
  <si>
    <t>Langsung, untuk audit pemetaan (identik dengan nama_produk S4); dim_produk memakai nama S4.</t>
  </si>
  <si>
    <t>t11: Table output</t>
  </si>
  <si>
    <t>category_local</t>
  </si>
  <si>
    <t>Sub-kategori diambil dari S4 (nilainya sama untuk 60 produk).</t>
  </si>
  <si>
    <t>unit_price_excl_ppn</t>
  </si>
  <si>
    <t>Harga fakta memakai trx_line.unit_price_excl (selalu sama dengan master).</t>
  </si>
  <si>
    <t>trx_header_TS*.csv</t>
  </si>
  <si>
    <t>trx_no</t>
  </si>
  <si>
    <t>Join ke trx_line setelah filter status. 42 berkas dibaca sekaligus: File/Directory ${NRG_DATA_DIR}/S2_POS_TOKO, Wildcard (RegExp) trx_header_TS[0-9]+\.csv, separator ;, format mixed (CRLF).</t>
  </si>
  <si>
    <t>t02: Text file input (regex); t21: Stream lookup / Merge join</t>
  </si>
  <si>
    <t>toko_kanal_key</t>
  </si>
  <si>
    <t>Lookup dim_toko_kanal.kode_toko → toko_kanal_key; tidak ketemu → -1.</t>
  </si>
  <si>
    <t>t21: Database lookup</t>
  </si>
  <si>
    <t>cashier_id</t>
  </si>
  <si>
    <t>Kasir tidak dimodelkan.</t>
  </si>
  <si>
    <t>Lookup dim_pelanggan.member_no → pelanggan_key; kosong (2.693 dari 6.000 transaksi) → 0 (Non-member).</t>
  </si>
  <si>
    <t>t21: Database lookup, If field value is null</t>
  </si>
  <si>
    <t>tanggal_key</t>
  </si>
  <si>
    <t>trx_date</t>
  </si>
  <si>
    <t>Format dd/MM/yyyy → DATE (tanpa jam); tanggal_key = yyyyMMdd; waktu_wib = tanggal itu jam 00:00:00. Toko WITA (Makassar, Denpasar) dipakai apa adanya. Tanggal juga dipakai mencari HPP versi berlaku dan kampanye.</t>
  </si>
  <si>
    <t>t02: Select values; t21: Calculator</t>
  </si>
  <si>
    <t>payment_type</t>
  </si>
  <si>
    <t>Tidak konsisten dengan trx_payment (746 transaksi non-SPLIT punya 2 baris bayar, 733 SPLIT hanya 1); tidak dibutuhkan.</t>
  </si>
  <si>
    <t>Filter status = 'NORMAL'; 175 transaksi VOID (242 baris item) dibuang sebelum join ke trx_line.</t>
  </si>
  <si>
    <t>t21: Filter rows</t>
  </si>
  <si>
    <t>trx_line_TS*.csv</t>
  </si>
  <si>
    <t>Langsung (20220622-TS01-6686); sumber_sistem = 'S2'. Hanya baris yang header-nya NORMAL.</t>
  </si>
  <si>
    <t>t21: Merge join, Table output</t>
  </si>
  <si>
    <t>line_seq</t>
  </si>
  <si>
    <t>t21: Table output</t>
  </si>
  <si>
    <t>item_code → map_produk (S2) → material_no → dim_produk versi yang berlaku pada trx_date.</t>
  </si>
  <si>
    <t>t21: Stream lookup, Dimension lookup/update (lookup)</t>
  </si>
  <si>
    <t>t21: Calculator</t>
  </si>
  <si>
    <t>unit_price_excl</t>
  </si>
  <si>
    <t>Langsung (sudah tanpa PPN).</t>
  </si>
  <si>
    <t>t21: Select values</t>
  </si>
  <si>
    <t>disc_pct</t>
  </si>
  <si>
    <t>diskon = qty × unit_price_excl × disc_pct / 100 (disc_pct 0, 5, 10). Juga kampanye_key: disc_pct = 0 → 0; tanggal di dalam periode kampanye Toko Fisik atau Semua Kanal dengan persen sama → kampanye itu (kanal spesifik dulu, lalu tgl_mulai terbaru); selain itu → -2 (Diskon non-kampanye; hanya 645 dari 3.310 baris diskon yang cocok).</t>
  </si>
  <si>
    <t>t21: Calculator, Database join</t>
  </si>
  <si>
    <t>trx_payment_TS*.csv</t>
  </si>
  <si>
    <t>trx_payment tidak di-join ke fakta karena barisnya berlipat; hanya untuk rekonsiliasi.</t>
  </si>
  <si>
    <t>method</t>
  </si>
  <si>
    <t>Metode bayar tidak dibutuhkan dan tidak konsisten dengan payment_type.</t>
  </si>
  <si>
    <t>Hanya untuk rekonsiliasi total bayar per transaksi.</t>
  </si>
  <si>
    <t>S3</t>
  </si>
  <si>
    <t>mpl_pull_page_*.json</t>
  </si>
  <si>
    <t>$.page</t>
  </si>
  <si>
    <t>Nomor halaman API (metadata paging).</t>
  </si>
  <si>
    <t>$.pulled_at</t>
  </si>
  <si>
    <t>Waktu tarik halaman API; dedup memakai diambil_pada per record.</t>
  </si>
  <si>
    <t>$.records[*].invoice</t>
  </si>
  <si>
    <t>Langsung (INV/20220818/MPB/9027); sumber_sistem = 'S3'. Kunci dedup bersama seller_sku. Jangan memakai tanggal di nomor invoice karena masih UTC.</t>
  </si>
  <si>
    <t>t03: JSON input; t22: Table output</t>
  </si>
  <si>
    <t>$.records[*].paid_at</t>
  </si>
  <si>
    <t>Parse ISO-8601 (yyyy-MM-dd'T'HH:mm:ss'Z'), + 7 jam. Juga: tanggal_key dari tanggal WIB (522 baris pindah tanggal, 11 pindah bulan, 1 pindah kuartal: INV/20220331/MPL/10420 masuk 2022-Q2); tanggal WIB dipakai mencari HPP dan kampanye.</t>
  </si>
  <si>
    <t>t22: Select values, Calculator</t>
  </si>
  <si>
    <t>$.records[*].channel</t>
  </si>
  <si>
    <t>marketplace_a → kode_toko MPL (Marketplace A), marketplace_b → MPB (Marketplace B), lalu lookup dim_toko_kanal.</t>
  </si>
  <si>
    <t>t22: Value mapper, Database lookup</t>
  </si>
  <si>
    <t>buyer_hash</t>
  </si>
  <si>
    <t>VARCHAR(16)</t>
  </si>
  <si>
    <t>$.records[*].buyer.hash</t>
  </si>
  <si>
    <t>Langsung; 556 pembeli, jenis_pelanggan = 'Marketplace' (anonim, tidak bisa dicocokkan ke HP). Juga kunci lookup pelanggan_key fakta S3.</t>
  </si>
  <si>
    <t>t14: Unique rows; t22: Database lookup</t>
  </si>
  <si>
    <t>$.records[*].buyer.city</t>
  </si>
  <si>
    <t>Kota invoice terakhir per buyer.hash (urut paid_at menurun, ambil baris pertama); 414 pembeli punya kota berbeda antar invoice. Nilai sudah baku.</t>
  </si>
  <si>
    <t>t14: Sort rows, Unique rows</t>
  </si>
  <si>
    <t>$.records[*].items[*].seller_sku</t>
  </si>
  <si>
    <t>JSON input ke-2 membaca field items (teks) dengan path $[*].seller_sku. seller_sku → map_produk (S3: material_no = 'P-' + empat digit akhir, HMATAS1001 → P-1001) → dim_produk versi yang berlaku pada tanggal WIB. Kunci dedup bersama invoice.</t>
  </si>
  <si>
    <t>t03: JSON input; t11: Regex evaluation; t22: Dimension lookup/update (lookup)</t>
  </si>
  <si>
    <t>$.records[*].items[*].qty</t>
  </si>
  <si>
    <t>Langsung (path $[*].qty); juga bobot alokasi fee (qty × price).</t>
  </si>
  <si>
    <t>t03: JSON input; t22: Calculator</t>
  </si>
  <si>
    <t>$.records[*].items[*].price</t>
  </si>
  <si>
    <t>÷ 1,11 (price termasuk PPN; path $[*].price).</t>
  </si>
  <si>
    <t>t22: Calculator</t>
  </si>
  <si>
    <t>$.records[*].items[*].voucher</t>
  </si>
  <si>
    <t>÷ 1,11; voucher per baris (5% atau 10% dari qty × price). Juga kampanye_key: voucher = 0 → 0; persen = voucher ÷ (qty × price) × 100 cocok dengan kampanye Marketplace atau Semua Kanal yang aktif → kampanye itu; selain itu → -2 (hanya 94 dari 897 baris bervoucher yang cocok).</t>
  </si>
  <si>
    <t>t22: Calculator, Database join</t>
  </si>
  <si>
    <t>fee_marketplace</t>
  </si>
  <si>
    <t>$.records[*].fees.commission</t>
  </si>
  <si>
    <t>fee_marketplace = (commission + service) × (qty × price baris ÷ Σ qty × price invoice); commission = 5% dari gross. Fee dipakai apa adanya (asumsi tanpa koreksi PPN). Total teralokasi harus 1.276.197.059.</t>
  </si>
  <si>
    <t>t22: Memory group by, Calculator</t>
  </si>
  <si>
    <t>$.records[*].fees.service</t>
  </si>
  <si>
    <t>Dijumlah dengan commission lalu dialokasikan proporsional ke item (297 invoice berisi 2 item).</t>
  </si>
  <si>
    <t>(kunci dedup)</t>
  </si>
  <si>
    <t>$.records[*].diambil_pada</t>
  </si>
  <si>
    <t>Sort rows (invoice, seller_sku, diambil_pada menurun) lalu Unique rows (invoice, seller_sku): ambil yang terbaru. 30 invoice terduplikasi (34 baris item) dibuang; isinya sama kecuali diambil_pada.</t>
  </si>
  <si>
    <t>t03: Sort rows, Unique rows</t>
  </si>
  <si>
    <t>material_no</t>
  </si>
  <si>
    <t>S4</t>
  </si>
  <si>
    <t>produk_master.csv</t>
  </si>
  <si>
    <t>Langsung; kunci natural (key field Dimension lookup/update). Sama dengan item_code S2, angka tengah sku S1, dan empat digit akhir seller_sku S3.</t>
  </si>
  <si>
    <t>t04: CSV file input; t12: Dimension lookup/update</t>
  </si>
  <si>
    <t>Trim; tidak berubah antar versi.</t>
  </si>
  <si>
    <t>t12: Dimension lookup/update</t>
  </si>
  <si>
    <t>Langsung; tidak berubah antar versi.</t>
  </si>
  <si>
    <t>Langsung (Elektronik, Furnitur, Pakaian).</t>
  </si>
  <si>
    <t>Langsung (9 sub-kategori); atribut utama pertanyaan 1.</t>
  </si>
  <si>
    <t>harga_pokok</t>
  </si>
  <si>
    <t>Satu versi per berlaku_sejak (SCD2): field bertipe Insert (Type 2). Di fakta: hpp_satuan = harga_pokok versi berlaku, total_hpp = qty × hpp_satuan.</t>
  </si>
  <si>
    <t>nama_supplier</t>
  </si>
  <si>
    <t>supplier</t>
  </si>
  <si>
    <t>Berisi nama, bukan ID: trim lalu Stream lookup ke supplier_master.nama_supplier untuk supplier_id dan kota (10 pemasok, semua cocok).</t>
  </si>
  <si>
    <t>t04: Stream lookup</t>
  </si>
  <si>
    <t>Field Type 2 (Insert) bersama harga_pokok; status berubah pada 5 versi (AKTIF → NONAKTIF).</t>
  </si>
  <si>
    <t>berlaku_mulai</t>
  </si>
  <si>
    <t>berlaku_sejak</t>
  </si>
  <si>
    <t>Stream datefield Dimension lookup/update (bukan tanggal load). berlaku_sampai versi lama otomatis = berlaku_mulai versi baru; versi terakhir 2199-12-31. 18 dari 60 produk punya 2–3 versi (79 baris).</t>
  </si>
  <si>
    <t>supplier_id</t>
  </si>
  <si>
    <t>supplier_master.csv</t>
  </si>
  <si>
    <t>Hasil Stream lookup nama pemasok (SUP-001 s.d. SUP-010).</t>
  </si>
  <si>
    <t>Kunci Stream lookup dari produk_master.supplier.</t>
  </si>
  <si>
    <t>kota_supplier</t>
  </si>
  <si>
    <t>Hasil Stream lookup nama pemasok.</t>
  </si>
  <si>
    <t>kontak</t>
  </si>
  <si>
    <t>Kontak pemasok (data pribadi) tidak dibutuhkan empat pertanyaan.</t>
  </si>
  <si>
    <t>stok_harian_feb2023.csv</t>
  </si>
  <si>
    <t>tanggal</t>
  </si>
  <si>
    <t>Stok harian hanya mencakup 10 dari 42 toko dan hanya Februari 2023; tidak dimodelkan, ditulis sebagai batasan.</t>
  </si>
  <si>
    <t>qty_on_hand</t>
  </si>
  <si>
    <t>qty_terjual_hari</t>
  </si>
  <si>
    <t>kode_promo</t>
  </si>
  <si>
    <t>S5</t>
  </si>
  <si>
    <t>kampanye_marketing.csv</t>
  </si>
  <si>
    <t>Buang baris kosong; trim + upper (newyear10 → NEWYEAR10); Unique rows (kode_promo, tgl_mulai) membuang 2 duplikat (RAMADAN23 persis, NEWYEAR10 beda tulisan). Hasil: 15 kampanye valid + 1 baris gagal validasi.</t>
  </si>
  <si>
    <t>t05: Filter rows, String operations, Unique rows</t>
  </si>
  <si>
    <t>nama_kampanye</t>
  </si>
  <si>
    <t>Trim spasi berlebih ('  Flash Sale Akhir Bulan  ').</t>
  </si>
  <si>
    <t>t05: String operations</t>
  </si>
  <si>
    <t>jenis_promo</t>
  </si>
  <si>
    <t>Trim (Voucher, Cashback, Bundling).</t>
  </si>
  <si>
    <t>kanal_berlaku</t>
  </si>
  <si>
    <t>kanal</t>
  </si>
  <si>
    <t>Trim (Semua Kanal, Toko Fisik, Situs Web, Marketplace); dipakai aturan atribusi S2 dan S3, kanal spesifik didahulukan.</t>
  </si>
  <si>
    <t>tgl_mulai</t>
  </si>
  <si>
    <t>DATE</t>
  </si>
  <si>
    <t>Format dd-MM-yyyy → DATE; bagian kunci kampanye (kode + tanggal mulai), dicocokkan ke vouchers.valid_from.</t>
  </si>
  <si>
    <t>t05: Select values</t>
  </si>
  <si>
    <t>tgl_selesai</t>
  </si>
  <si>
    <t>Format dd-MM-yyyy → DATE.</t>
  </si>
  <si>
    <t>target_diskon_persen</t>
  </si>
  <si>
    <t>DECIMAL(5,2)</t>
  </si>
  <si>
    <t>Data validator: harus angka. Gagal ('sepuluh', GAJIAN25 mulai 28-06-2022) → seluruh kolom asli ke err_kampanye beserta alasan; tidak dikonversi dan tidak dibuang diam-diam.</t>
  </si>
  <si>
    <t>t05: Data validator (error handling → Table output err_kampanye)</t>
  </si>
  <si>
    <t>err_kampanye</t>
  </si>
  <si>
    <t>pic</t>
  </si>
  <si>
    <t>Tidak masuk dim_kampanye (tidak dibutuhkan empat pertanyaan); hanya disimpan sebagai kolom asli bila baris gagal validasi.</t>
  </si>
  <si>
    <t>t05: Table output (err_kampanye)</t>
  </si>
  <si>
    <t>Ref</t>
  </si>
  <si>
    <t>ref_kota.csv</t>
  </si>
  <si>
    <t>alias</t>
  </si>
  <si>
    <t>Kunci Stream lookup: member.kota = alias (26 alias, cocok persis termasuk Jaksel); untuk kota toko dipakai UPPER(city).</t>
  </si>
  <si>
    <t>t13, t14: Stream lookup</t>
  </si>
  <si>
    <t>kota_baku</t>
  </si>
  <si>
    <t>Hasil lookup (12 kota baku) menjadi kota member; juga validasi kota toko di dim_toko_kanal.</t>
  </si>
  <si>
    <t>penjualan_id</t>
  </si>
  <si>
    <t>BIGINT</t>
  </si>
  <si>
    <t>DW</t>
  </si>
  <si>
    <t>AUTO_INCREMENT oleh MySQL; tidak dikirim dari Pentaho.</t>
  </si>
  <si>
    <t>sumber_sistem</t>
  </si>
  <si>
    <t>CHAR(2)</t>
  </si>
  <si>
    <t>Konstanta</t>
  </si>
  <si>
    <t>'S1' di t20, 'S2' di t21, 'S3' di t22. Dipakai juga untuk DELETE per sumber sebelum rerun.</t>
  </si>
  <si>
    <t>t20–t22: Add constants</t>
  </si>
  <si>
    <t>Turunan</t>
  </si>
  <si>
    <t>$.records[*].items[*]</t>
  </si>
  <si>
    <t>Khusus S3: urutan item di dalam items[] per invoice setelah dedup (1 atau 2).</t>
  </si>
  <si>
    <t>t22: Add value fields changing sequence</t>
  </si>
  <si>
    <t>orders / trx_header_TS*.csv / mpl_pull_page_*.json</t>
  </si>
  <si>
    <t>order_ts / trx_date / paid_at</t>
  </si>
  <si>
    <t>Tanggal WIB (S3 sesudah + 7 jam) diformat yyyyMMdd; harus ada di dim_tanggal (FK).</t>
  </si>
  <si>
    <t>t20–t22: Calculator, Select values</t>
  </si>
  <si>
    <t>Khusus S1: kode_toko konstanta 'WEB' → lookup dim_toko_kanal (Situs Web).</t>
  </si>
  <si>
    <t>t20: Add constants, Database lookup</t>
  </si>
  <si>
    <t>Khusus S2: tanggal trx_date jam 00:00:00 karena S2 tidak menyimpan jam.</t>
  </si>
  <si>
    <t>Khusus S3: lookup dim_pelanggan.buyer_hash → pelanggan_key; tidak ketemu → -1.</t>
  </si>
  <si>
    <t>t22: Database lookup</t>
  </si>
  <si>
    <t>trx_line_TS*.csv, trx_header_TS*.csv</t>
  </si>
  <si>
    <t>disc_pct, trx_date</t>
  </si>
  <si>
    <t>Khusus S2: disc_pct = 0 → 0; tanggal di dalam periode kampanye Toko Fisik atau Semua Kanal dengan target_diskon_persen = disc_pct → kampanye itu (kanal spesifik dulu, lalu tgl_mulai terbaru); selain itu → -2 Diskon non-kampanye.</t>
  </si>
  <si>
    <t>t21: Database join, If field value is null</t>
  </si>
  <si>
    <t>items[*].voucher, items[*].qty, items[*].price, paid_at</t>
  </si>
  <si>
    <t>Khusus S3: voucher = 0 → 0; persen = voucher ÷ (qty × price) × 100, tanggal WIB di dalam periode kampanye Marketplace atau Semua Kanal dengan persen sama → kampanye itu (kanal spesifik dulu, lalu tgl_mulai terbaru); selain itu → -2.</t>
  </si>
  <si>
    <t>penjualan_kotor</t>
  </si>
  <si>
    <t>qty, harga_satuan</t>
  </si>
  <si>
    <t>qty × harga_satuan.</t>
  </si>
  <si>
    <t>t20–t22: Calculator</t>
  </si>
  <si>
    <t>penjualan_bersih</t>
  </si>
  <si>
    <t>penjualan_kotor, diskon</t>
  </si>
  <si>
    <t>penjualan_kotor − diskon.</t>
  </si>
  <si>
    <t>hpp_satuan</t>
  </si>
  <si>
    <t>harga_pokok versi yang berlaku pada tanggal transaksi (ikut hasil lookup produk_key); NULL untuk produk inferred (ORD-9999).</t>
  </si>
  <si>
    <t>t20–t22: Dimension lookup/update (lookup) atau Database lookup</t>
  </si>
  <si>
    <t>total_hpp</t>
  </si>
  <si>
    <t>qty, hpp_satuan</t>
  </si>
  <si>
    <t>qty × hpp_satuan; NULL bila hpp_satuan NULL.</t>
  </si>
  <si>
    <t>Khusus S1 dan S2: 0.</t>
  </si>
  <si>
    <t>t20, t21: Add constants</t>
  </si>
  <si>
    <t>margin_kotor</t>
  </si>
  <si>
    <t>penjualan_bersih, total_hpp, fee_marketplace</t>
  </si>
  <si>
    <t>penjualan_bersih − total_hpp − fee_marketplace; NULL bila total_hpp NULL.</t>
  </si>
  <si>
    <t>Khusus S2 dan S3: 0 (retur hanya tercatat di S1).</t>
  </si>
  <si>
    <t>t21, t22: Add constants</t>
  </si>
  <si>
    <t>Khusus S2 dan S3: 0.</t>
  </si>
  <si>
    <t>dim_tanggal</t>
  </si>
  <si>
    <t>Pentaho</t>
  </si>
  <si>
    <t>yyyyMMdd dari tanggal. Dibangkitkan 730 baris (2022-01-01 s.d. 2023-12-31): Generate rows + Add sequence, lalu Calculator (Date A + B days).</t>
  </si>
  <si>
    <t>t10: Generate rows, Add sequence, Calculator</t>
  </si>
  <si>
    <t>2022-01-01 + urutan − 1 hari.</t>
  </si>
  <si>
    <t>t10: Calculator</t>
  </si>
  <si>
    <t>nama_hari</t>
  </si>
  <si>
    <t>Day of week → Senin s.d. Minggu.</t>
  </si>
  <si>
    <t>t10: Calculator, Value mapper</t>
  </si>
  <si>
    <t>bulan</t>
  </si>
  <si>
    <t>TINYINT</t>
  </si>
  <si>
    <t>Month of date (1–12).</t>
  </si>
  <si>
    <t>nama_bulan</t>
  </si>
  <si>
    <t>Bulan → Januari s.d. Desember.</t>
  </si>
  <si>
    <t>t10: Value mapper</t>
  </si>
  <si>
    <t>kuartal</t>
  </si>
  <si>
    <t>Quarter of date (1–4).</t>
  </si>
  <si>
    <t>tahun</t>
  </si>
  <si>
    <t>Year of date.</t>
  </si>
  <si>
    <t>tahun_kuartal</t>
  </si>
  <si>
    <t>CHAR(7)</t>
  </si>
  <si>
    <t>tahun + '-Q' + kuartal, mis. 2022-Q1.</t>
  </si>
  <si>
    <t>Technical key Dimension lookup/update (auto increment atau table maximum + 1); -1 = Tidak diketahui dari DDL.</t>
  </si>
  <si>
    <t>berlaku_sampai</t>
  </si>
  <si>
    <t>Date range end: diisi otomatis = berlaku_mulai versi berikutnya; versi terakhir 2199-12-31. Lookup memakai berlaku_mulai ≤ tanggal &lt; berlaku_sampai.</t>
  </si>
  <si>
    <t>versi</t>
  </si>
  <si>
    <t>Version field: 1, 2, 3 per material_no.</t>
  </si>
  <si>
    <t>is_inferred</t>
  </si>
  <si>
    <t>Default 'N'; 'Y' untuk baris inferred yang disisipkan t20 (SKU-NEWARR-001).</t>
  </si>
  <si>
    <t>t20: Add constants, Table output</t>
  </si>
  <si>
    <t>AUTO_INCREMENT; 0 = Non-member dan -1 = Tidak diketahui dari DDL.</t>
  </si>
  <si>
    <t>is_pelanggan_web</t>
  </si>
  <si>
    <t>'Y' bila punya customer_id S1, selain itu 'N'.</t>
  </si>
  <si>
    <t>t14: Calculator</t>
  </si>
  <si>
    <t>is_member_toko</t>
  </si>
  <si>
    <t>'Y' bila punya member_no S2, selain itu 'N'.</t>
  </si>
  <si>
    <t>jenis_pelanggan</t>
  </si>
  <si>
    <t>is_pelanggan_web, is_member_toko, buyer_hash</t>
  </si>
  <si>
    <t>Web (hanya web), Member Toko (hanya member), Web + Member (keduanya, 200 orang), Marketplace (buyer_hash); baris khusus Non-member dan Tidak diketahui.</t>
  </si>
  <si>
    <t>t14: Calculator, Value mapper</t>
  </si>
  <si>
    <t>AUTO_INCREMENT; -1 = Tidak diketahui dari DDL.</t>
  </si>
  <si>
    <t>'Toko Fisik' untuk 42 toko; baris online dari Data grid: 'Situs Web', 'Marketplace', 'Marketplace'.</t>
  </si>
  <si>
    <t>t13: Add constants, Data grid</t>
  </si>
  <si>
    <t>sub_kanal</t>
  </si>
  <si>
    <t>'Toko Fisik' untuk 42 toko; baris online: 'Situs Web', 'Marketplace A', 'Marketplace B'.</t>
  </si>
  <si>
    <t>Baris online dari Data grid: WEB, MPL (kode invoice Marketplace A), MPB (Marketplace B).</t>
  </si>
  <si>
    <t>t13: Data grid, Append streams</t>
  </si>
  <si>
    <t>Baris online diisi nama kanal: Situs Web, Marketplace A, Marketplace B. kota, provinsi, format_toko = NULL.</t>
  </si>
  <si>
    <t>t13: Data grid</t>
  </si>
  <si>
    <t>AUTO_INCREMENT; 0 = Tanpa kampanye, -1 = Tidak diketahui, -2 = Diskon non-kampanye dari DDL (t15 tidak perlu menyisipkannya lagi).</t>
  </si>
  <si>
    <t>'S1', 'S2', 'S3' per aliran sebelum Append streams.</t>
  </si>
  <si>
    <t>t11: Add constants</t>
  </si>
  <si>
    <t>Khusus S3: seller_sku unik (60 kode) dari staging S3.</t>
  </si>
  <si>
    <t>t11: Unique rows, Append streams</t>
  </si>
  <si>
    <t>products / product_master_local.csv / mpl_pull_page_*.json</t>
  </si>
  <si>
    <t>sku / item_code / seller_sku</t>
  </si>
  <si>
    <t>S1: 'P-' + angka tengah sku; S2: item_code; S3: 'P-' + empat digit akhir seller_sku; NULL bila tidak ada di S4 (SKU-NEWARR-001). Total 181 baris (61 + 60 + 60).</t>
  </si>
  <si>
    <t>t11: Regex evaluation, Calculator</t>
  </si>
  <si>
    <t>err_id</t>
  </si>
  <si>
    <t>AUTO_INCREMENT.</t>
  </si>
  <si>
    <t>Target kedua: kolom asli baris yang gagal Data validator, disimpan sebagai teks apa adanya (tidak dikonversi).</t>
  </si>
  <si>
    <t>VARCHAR(200)</t>
  </si>
  <si>
    <t>VARCHAR(50)</t>
  </si>
  <si>
    <t>jumlah_error</t>
  </si>
  <si>
    <t>Error handling: Nr of errors fieldname.</t>
  </si>
  <si>
    <t>t05: Data validator (error handling)</t>
  </si>
  <si>
    <t>deskripsi_error</t>
  </si>
  <si>
    <t>VARCHAR(1000)</t>
  </si>
  <si>
    <t>Error handling: Error descriptions fieldname (mis. target_diskon_persen bukan angka).</t>
  </si>
  <si>
    <t>kolom_error</t>
  </si>
  <si>
    <t>VARCHAR(255)</t>
  </si>
  <si>
    <t>Error handling: Error fields fieldname.</t>
  </si>
  <si>
    <t>kode_error</t>
  </si>
  <si>
    <t>Error handling: Error codes fieldname.</t>
  </si>
  <si>
    <t>waktu_load</t>
  </si>
  <si>
    <t>DEFAULT CURRENT_TIMESTAMP (boleh juga diisi Get System Info).</t>
  </si>
  <si>
    <t>Kelengkapan peta source-to-target per berkas sumber</t>
  </si>
  <si>
    <t>Kolom C = jumlah kolom di header berkas sumber (S3: jumlah field daun JSON, termasuk field bersarang), dihitung dari folder Data. Kolom D–F dihitung otomatis dari lembar Peta S2T.</t>
  </si>
  <si>
    <t>Kolom di berkas sumber</t>
  </si>
  <si>
    <t>Baris di peta</t>
  </si>
  <si>
    <t>Dipakai</t>
  </si>
  <si>
    <t>Tidak dipakai</t>
  </si>
  <si>
    <t>Status</t>
  </si>
  <si>
    <t>Total</t>
  </si>
  <si>
    <t>Semua berkas di folder Data</t>
  </si>
  <si>
    <t>Peta source-to-target (Deliverable 3.1.3) — Data Warehouse NRG</t>
  </si>
  <si>
    <t>Isi berkas</t>
  </si>
  <si>
    <t>Peta S2T: satu baris untuk setiap kolom sumber di folder Data (S1 11 tabel, S2 7 jenis berkas, S3 semua field JSON, S4 3 berkas, S5, ref_kota).</t>
  </si>
  <si>
    <t>Kolom target lain: kolom target yang tidak muncul di lembar Peta S2T, yaitu hasil hitung, dibangkitkan Pentaho atau MySQL, konstanta, atau target kedua dari kolom sumber yang sama; bersama Peta S2T, setiap kolom nrg_dw_ddl.sql punya asal-usul.</t>
  </si>
  <si>
    <t>Ringkasan: cek otomatis jumlah kolom per berkas; Status harus "Lengkap" untuk semua baris.</t>
  </si>
  <si>
    <t>Arti kolom</t>
  </si>
  <si>
    <t>Tabel target, Kolom target, Tipe: tabel dan kolom di 02_ddl/nrg_dw_ddl.sql beserta tipenya.</t>
  </si>
  <si>
    <t>Sumber: S1 ECOM_DB, S2 POS_TOKO, S3 MPL_API, S4 ERP_MASTER, S5 MKT_SHEET, Ref ref_kota.</t>
  </si>
  <si>
    <t>Berkas/tabel dan Kolom sumber: nama persis seperti di berkas sumber; S3 memakai JSONPath ($.records[*]...).</t>
  </si>
  <si>
    <t>Transformasi: aturan pembersihan dan perhitungan (Tahap 3 dan 4 dokumen panduan) beserta angka buktinya.</t>
  </si>
  <si>
    <t>Step Pentaho: kode transformasi (t01–t30) dan step utama yang menjalankan aturan.</t>
  </si>
  <si>
    <t>Penanda khusus di Kolom target</t>
  </si>
  <si>
    <t>(tidak dipakai): kolom sumber tidak masuk data warehouse; alasannya ditulis di Transformasi (baris abu-abu).</t>
  </si>
  <si>
    <t>(kunci join): hanya dipakai menggabungkan tabel di sistem sumber yang sama.</t>
  </si>
  <si>
    <t>(kunci lookup): hanya dipakai mencari nilai atau kunci di tabel lain.</t>
  </si>
  <si>
    <t>(filter): menentukan baris mana yang dimuat ke fakta atau dimensi.</t>
  </si>
  <si>
    <t>(kunci dedup): menentukan baris mana yang dipertahankan saat menghapus duplikat.</t>
  </si>
  <si>
    <t>Baris khusus dimensi (disisipkan oleh DDL)</t>
  </si>
  <si>
    <t>0 = Non-member (dim_pelanggan) dan Tanpa kampanye (dim_kampanye); -1 = Tidak diketahui (dim_pelanggan, dim_kampanye, dim_produk, dim_toko_kanal); -2 = Diskon non-kampanye (dim_kampanye).</t>
  </si>
  <si>
    <t>Cara memperbarui</t>
  </si>
  <si>
    <t>Ubah langsung baris di lembar Peta S2T (kolom A–H). Tambah baris bila ada kolom sumber baru; pilihan Tabel target dan Sumber tersedia sebagai daftar.</t>
  </si>
  <si>
    <t>Pembagian pemeriksaan: anggota B (S1, S4), anggota C (S2, ref_kota), anggota D (S3, S5), sesuai pembagian kerja di dokumen panduan.</t>
  </si>
  <si>
    <t>Asumsi yang perlu dikonfirmasi ke dosen</t>
  </si>
  <si>
    <t>Order DIKIRIM dan RETUR ikut dihitung; retur DISETUJUI dan DIPROSES sama-sama masuk qty_retur dan nilai_retur.</t>
  </si>
  <si>
    <t>Fee marketplace dipakai apa adanya (tanpa koreksi PPN).</t>
  </si>
  <si>
    <t>Toko WITA (Makassar, Denpasar) hanya punya tanggal, jadi tanggal dipakai apa adanya.</t>
  </si>
  <si>
    <t>Transaksi kampanye GAJIAN25 periode pertama (gagal validasi S5) memakai kampanye -1 Tidak diketahui sampai sumbernya diperbaiki.</t>
  </si>
  <si>
    <t>Atribusi kampanye toko dan marketplace: tanggal masuk periode kampanye kanalnya atau Semua Kanal dengan persen sama; kanal spesifik dulu, lalu tgl_mulai terbaru.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</si>
</sst>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808080"/>
      <name val="Arial"/>
    </font>
    <font>
      <b/>
      <sz val="12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1" fillId="2" borderId="1" xfId="0" applyFont="1" applyFill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2" customWidth="1"/>
    <col min="3" max="3" width="15" customWidth="1"/>
    <col min="4" max="4" width="8" customWidth="1"/>
    <col min="5" max="5" width="26" customWidth="1"/>
    <col min="6" max="6" width="34" customWidth="1"/>
    <col min="7" max="7" width="80" customWidth="1"/>
    <col min="8" max="8" width="3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3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5" x14ac:dyDescent="0.35">
      <c r="A3" s="2" t="s">
        <v>8</v>
      </c>
      <c r="B3" s="2" t="s">
        <v>16</v>
      </c>
      <c r="C3" s="2" t="s">
        <v>17</v>
      </c>
      <c r="D3" s="3" t="s">
        <v>11</v>
      </c>
      <c r="E3" s="2" t="s">
        <v>12</v>
      </c>
      <c r="F3" s="2" t="s">
        <v>18</v>
      </c>
      <c r="G3" s="2" t="s">
        <v>19</v>
      </c>
      <c r="H3" s="2" t="s">
        <v>15</v>
      </c>
    </row>
    <row r="4" spans="1:8" ht="25" x14ac:dyDescent="0.35">
      <c r="A4" s="2" t="s">
        <v>8</v>
      </c>
      <c r="B4" s="2" t="s">
        <v>20</v>
      </c>
      <c r="C4" s="2" t="s">
        <v>17</v>
      </c>
      <c r="D4" s="3" t="s">
        <v>11</v>
      </c>
      <c r="E4" s="2" t="s">
        <v>12</v>
      </c>
      <c r="F4" s="2" t="s">
        <v>21</v>
      </c>
      <c r="G4" s="2" t="s">
        <v>22</v>
      </c>
      <c r="H4" s="2" t="s">
        <v>15</v>
      </c>
    </row>
    <row r="5" spans="1:8" x14ac:dyDescent="0.35">
      <c r="A5" s="2" t="s">
        <v>23</v>
      </c>
      <c r="B5" s="2" t="s">
        <v>24</v>
      </c>
      <c r="C5" s="2" t="s">
        <v>25</v>
      </c>
      <c r="D5" s="3" t="s">
        <v>11</v>
      </c>
      <c r="E5" s="2" t="s">
        <v>26</v>
      </c>
      <c r="F5" s="2" t="s">
        <v>27</v>
      </c>
      <c r="G5" s="2" t="s">
        <v>28</v>
      </c>
      <c r="H5" s="2" t="s">
        <v>29</v>
      </c>
    </row>
    <row r="6" spans="1:8" ht="25" x14ac:dyDescent="0.35">
      <c r="A6" s="2" t="s">
        <v>23</v>
      </c>
      <c r="B6" s="2" t="s">
        <v>30</v>
      </c>
      <c r="C6" s="2" t="s">
        <v>31</v>
      </c>
      <c r="D6" s="3" t="s">
        <v>11</v>
      </c>
      <c r="E6" s="2" t="s">
        <v>26</v>
      </c>
      <c r="F6" s="2" t="s">
        <v>32</v>
      </c>
      <c r="G6" s="2" t="s">
        <v>33</v>
      </c>
      <c r="H6" s="2" t="s">
        <v>34</v>
      </c>
    </row>
    <row r="7" spans="1:8" x14ac:dyDescent="0.35">
      <c r="A7" s="4" t="s">
        <v>35</v>
      </c>
      <c r="B7" s="4" t="s">
        <v>10</v>
      </c>
      <c r="C7" s="4" t="s">
        <v>10</v>
      </c>
      <c r="D7" s="5" t="s">
        <v>11</v>
      </c>
      <c r="E7" s="4" t="s">
        <v>26</v>
      </c>
      <c r="F7" s="4" t="s">
        <v>36</v>
      </c>
      <c r="G7" s="4" t="s">
        <v>37</v>
      </c>
      <c r="H7" s="4" t="s">
        <v>10</v>
      </c>
    </row>
    <row r="8" spans="1:8" ht="37.5" x14ac:dyDescent="0.35">
      <c r="A8" s="2" t="s">
        <v>23</v>
      </c>
      <c r="B8" s="2" t="s">
        <v>38</v>
      </c>
      <c r="C8" s="2" t="s">
        <v>39</v>
      </c>
      <c r="D8" s="3" t="s">
        <v>11</v>
      </c>
      <c r="E8" s="2" t="s">
        <v>26</v>
      </c>
      <c r="F8" s="2" t="s">
        <v>40</v>
      </c>
      <c r="G8" s="2" t="s">
        <v>41</v>
      </c>
      <c r="H8" s="2" t="s">
        <v>42</v>
      </c>
    </row>
    <row r="9" spans="1:8" x14ac:dyDescent="0.35">
      <c r="A9" s="2" t="s">
        <v>23</v>
      </c>
      <c r="B9" s="2" t="s">
        <v>43</v>
      </c>
      <c r="C9" s="2" t="s">
        <v>44</v>
      </c>
      <c r="D9" s="3" t="s">
        <v>11</v>
      </c>
      <c r="E9" s="2" t="s">
        <v>26</v>
      </c>
      <c r="F9" s="2" t="s">
        <v>43</v>
      </c>
      <c r="G9" s="2" t="s">
        <v>45</v>
      </c>
      <c r="H9" s="2" t="s">
        <v>46</v>
      </c>
    </row>
    <row r="10" spans="1:8" x14ac:dyDescent="0.35">
      <c r="A10" s="4" t="s">
        <v>35</v>
      </c>
      <c r="B10" s="4" t="s">
        <v>10</v>
      </c>
      <c r="C10" s="4" t="s">
        <v>10</v>
      </c>
      <c r="D10" s="5" t="s">
        <v>11</v>
      </c>
      <c r="E10" s="4" t="s">
        <v>26</v>
      </c>
      <c r="F10" s="4" t="s">
        <v>47</v>
      </c>
      <c r="G10" s="4" t="s">
        <v>48</v>
      </c>
      <c r="H10" s="4" t="s">
        <v>10</v>
      </c>
    </row>
    <row r="11" spans="1:8" x14ac:dyDescent="0.35">
      <c r="A11" s="4" t="s">
        <v>35</v>
      </c>
      <c r="B11" s="4" t="s">
        <v>10</v>
      </c>
      <c r="C11" s="4" t="s">
        <v>10</v>
      </c>
      <c r="D11" s="5" t="s">
        <v>11</v>
      </c>
      <c r="E11" s="4" t="s">
        <v>26</v>
      </c>
      <c r="F11" s="4" t="s">
        <v>49</v>
      </c>
      <c r="G11" s="4" t="s">
        <v>50</v>
      </c>
      <c r="H11" s="4" t="s">
        <v>10</v>
      </c>
    </row>
    <row r="12" spans="1:8" ht="25" x14ac:dyDescent="0.35">
      <c r="A12" s="4" t="s">
        <v>35</v>
      </c>
      <c r="B12" s="4" t="s">
        <v>10</v>
      </c>
      <c r="C12" s="4" t="s">
        <v>10</v>
      </c>
      <c r="D12" s="5" t="s">
        <v>11</v>
      </c>
      <c r="E12" s="4" t="s">
        <v>51</v>
      </c>
      <c r="F12" s="4" t="s">
        <v>52</v>
      </c>
      <c r="G12" s="4" t="s">
        <v>53</v>
      </c>
      <c r="H12" s="4" t="s">
        <v>10</v>
      </c>
    </row>
    <row r="13" spans="1:8" ht="25" x14ac:dyDescent="0.35">
      <c r="A13" s="2" t="s">
        <v>23</v>
      </c>
      <c r="B13" s="2" t="s">
        <v>54</v>
      </c>
      <c r="C13" s="2" t="s">
        <v>10</v>
      </c>
      <c r="D13" s="3" t="s">
        <v>11</v>
      </c>
      <c r="E13" s="2" t="s">
        <v>51</v>
      </c>
      <c r="F13" s="2" t="s">
        <v>27</v>
      </c>
      <c r="G13" s="2" t="s">
        <v>55</v>
      </c>
      <c r="H13" s="2" t="s">
        <v>56</v>
      </c>
    </row>
    <row r="14" spans="1:8" x14ac:dyDescent="0.35">
      <c r="A14" s="4" t="s">
        <v>35</v>
      </c>
      <c r="B14" s="4" t="s">
        <v>10</v>
      </c>
      <c r="C14" s="4" t="s">
        <v>10</v>
      </c>
      <c r="D14" s="5" t="s">
        <v>11</v>
      </c>
      <c r="E14" s="4" t="s">
        <v>51</v>
      </c>
      <c r="F14" s="4" t="s">
        <v>57</v>
      </c>
      <c r="G14" s="4" t="s">
        <v>58</v>
      </c>
      <c r="H14" s="4" t="s">
        <v>10</v>
      </c>
    </row>
    <row r="15" spans="1:8" x14ac:dyDescent="0.35">
      <c r="A15" s="4" t="s">
        <v>35</v>
      </c>
      <c r="B15" s="4" t="s">
        <v>10</v>
      </c>
      <c r="C15" s="4" t="s">
        <v>10</v>
      </c>
      <c r="D15" s="5" t="s">
        <v>11</v>
      </c>
      <c r="E15" s="4" t="s">
        <v>51</v>
      </c>
      <c r="F15" s="4" t="s">
        <v>59</v>
      </c>
      <c r="G15" s="4" t="s">
        <v>60</v>
      </c>
      <c r="H15" s="4" t="s">
        <v>10</v>
      </c>
    </row>
    <row r="16" spans="1:8" ht="37.5" x14ac:dyDescent="0.35">
      <c r="A16" s="2" t="s">
        <v>23</v>
      </c>
      <c r="B16" s="2" t="s">
        <v>61</v>
      </c>
      <c r="C16" s="2" t="s">
        <v>17</v>
      </c>
      <c r="D16" s="3" t="s">
        <v>11</v>
      </c>
      <c r="E16" s="2" t="s">
        <v>51</v>
      </c>
      <c r="F16" s="2" t="s">
        <v>62</v>
      </c>
      <c r="G16" s="2" t="s">
        <v>63</v>
      </c>
      <c r="H16" s="2" t="s">
        <v>64</v>
      </c>
    </row>
    <row r="17" spans="1:8" x14ac:dyDescent="0.35">
      <c r="A17" s="4" t="s">
        <v>35</v>
      </c>
      <c r="B17" s="4" t="s">
        <v>10</v>
      </c>
      <c r="C17" s="4" t="s">
        <v>10</v>
      </c>
      <c r="D17" s="5" t="s">
        <v>11</v>
      </c>
      <c r="E17" s="4" t="s">
        <v>51</v>
      </c>
      <c r="F17" s="4" t="s">
        <v>65</v>
      </c>
      <c r="G17" s="4" t="s">
        <v>66</v>
      </c>
      <c r="H17" s="4" t="s">
        <v>10</v>
      </c>
    </row>
    <row r="18" spans="1:8" ht="25" x14ac:dyDescent="0.35">
      <c r="A18" s="4" t="s">
        <v>35</v>
      </c>
      <c r="B18" s="4" t="s">
        <v>10</v>
      </c>
      <c r="C18" s="4" t="s">
        <v>10</v>
      </c>
      <c r="D18" s="5" t="s">
        <v>11</v>
      </c>
      <c r="E18" s="4" t="s">
        <v>51</v>
      </c>
      <c r="F18" s="4" t="s">
        <v>67</v>
      </c>
      <c r="G18" s="4" t="s">
        <v>68</v>
      </c>
      <c r="H18" s="4" t="s">
        <v>10</v>
      </c>
    </row>
    <row r="19" spans="1:8" x14ac:dyDescent="0.35">
      <c r="A19" s="2" t="s">
        <v>23</v>
      </c>
      <c r="B19" s="2" t="s">
        <v>69</v>
      </c>
      <c r="C19" s="2" t="s">
        <v>10</v>
      </c>
      <c r="D19" s="3" t="s">
        <v>11</v>
      </c>
      <c r="E19" s="2" t="s">
        <v>51</v>
      </c>
      <c r="F19" s="2" t="s">
        <v>70</v>
      </c>
      <c r="G19" s="2" t="s">
        <v>71</v>
      </c>
      <c r="H19" s="2" t="s">
        <v>72</v>
      </c>
    </row>
    <row r="20" spans="1:8" x14ac:dyDescent="0.35">
      <c r="A20" s="4" t="s">
        <v>35</v>
      </c>
      <c r="B20" s="4" t="s">
        <v>10</v>
      </c>
      <c r="C20" s="4" t="s">
        <v>10</v>
      </c>
      <c r="D20" s="5" t="s">
        <v>11</v>
      </c>
      <c r="E20" s="4" t="s">
        <v>73</v>
      </c>
      <c r="F20" s="4" t="s">
        <v>74</v>
      </c>
      <c r="G20" s="4" t="s">
        <v>75</v>
      </c>
      <c r="H20" s="4" t="s">
        <v>10</v>
      </c>
    </row>
    <row r="21" spans="1:8" ht="37.5" x14ac:dyDescent="0.35">
      <c r="A21" s="2" t="s">
        <v>76</v>
      </c>
      <c r="B21" s="2" t="s">
        <v>77</v>
      </c>
      <c r="C21" s="2" t="s">
        <v>78</v>
      </c>
      <c r="D21" s="3" t="s">
        <v>11</v>
      </c>
      <c r="E21" s="2" t="s">
        <v>73</v>
      </c>
      <c r="F21" s="2" t="s">
        <v>79</v>
      </c>
      <c r="G21" s="2" t="s">
        <v>80</v>
      </c>
      <c r="H21" s="2" t="s">
        <v>81</v>
      </c>
    </row>
    <row r="22" spans="1:8" x14ac:dyDescent="0.35">
      <c r="A22" s="2" t="s">
        <v>8</v>
      </c>
      <c r="B22" s="2" t="s">
        <v>54</v>
      </c>
      <c r="C22" s="2" t="s">
        <v>10</v>
      </c>
      <c r="D22" s="3" t="s">
        <v>11</v>
      </c>
      <c r="E22" s="2" t="s">
        <v>73</v>
      </c>
      <c r="F22" s="2" t="s">
        <v>13</v>
      </c>
      <c r="G22" s="2" t="s">
        <v>82</v>
      </c>
      <c r="H22" s="2" t="s">
        <v>15</v>
      </c>
    </row>
    <row r="23" spans="1:8" ht="25" x14ac:dyDescent="0.35">
      <c r="A23" s="2" t="s">
        <v>8</v>
      </c>
      <c r="B23" s="2" t="s">
        <v>83</v>
      </c>
      <c r="C23" s="2" t="s">
        <v>84</v>
      </c>
      <c r="D23" s="3" t="s">
        <v>11</v>
      </c>
      <c r="E23" s="2" t="s">
        <v>73</v>
      </c>
      <c r="F23" s="2" t="s">
        <v>85</v>
      </c>
      <c r="G23" s="2" t="s">
        <v>86</v>
      </c>
      <c r="H23" s="2" t="s">
        <v>87</v>
      </c>
    </row>
    <row r="24" spans="1:8" x14ac:dyDescent="0.35">
      <c r="A24" s="2" t="s">
        <v>8</v>
      </c>
      <c r="B24" s="2" t="s">
        <v>88</v>
      </c>
      <c r="C24" s="2" t="s">
        <v>17</v>
      </c>
      <c r="D24" s="3" t="s">
        <v>11</v>
      </c>
      <c r="E24" s="2" t="s">
        <v>73</v>
      </c>
      <c r="F24" s="2" t="s">
        <v>88</v>
      </c>
      <c r="G24" s="2" t="s">
        <v>89</v>
      </c>
      <c r="H24" s="2" t="s">
        <v>15</v>
      </c>
    </row>
    <row r="25" spans="1:8" x14ac:dyDescent="0.35">
      <c r="A25" s="4" t="s">
        <v>35</v>
      </c>
      <c r="B25" s="4" t="s">
        <v>10</v>
      </c>
      <c r="C25" s="4" t="s">
        <v>10</v>
      </c>
      <c r="D25" s="5" t="s">
        <v>11</v>
      </c>
      <c r="E25" s="4" t="s">
        <v>73</v>
      </c>
      <c r="F25" s="4" t="s">
        <v>90</v>
      </c>
      <c r="G25" s="4" t="s">
        <v>91</v>
      </c>
      <c r="H25" s="4" t="s">
        <v>10</v>
      </c>
    </row>
    <row r="26" spans="1:8" x14ac:dyDescent="0.35">
      <c r="A26" s="4" t="s">
        <v>35</v>
      </c>
      <c r="B26" s="4" t="s">
        <v>10</v>
      </c>
      <c r="C26" s="4" t="s">
        <v>10</v>
      </c>
      <c r="D26" s="5" t="s">
        <v>11</v>
      </c>
      <c r="E26" s="4" t="s">
        <v>73</v>
      </c>
      <c r="F26" s="4" t="s">
        <v>92</v>
      </c>
      <c r="G26" s="4" t="s">
        <v>93</v>
      </c>
      <c r="H26" s="4" t="s">
        <v>10</v>
      </c>
    </row>
    <row r="27" spans="1:8" ht="37.5" x14ac:dyDescent="0.35">
      <c r="A27" s="2" t="s">
        <v>94</v>
      </c>
      <c r="B27" s="2" t="s">
        <v>95</v>
      </c>
      <c r="C27" s="2" t="s">
        <v>25</v>
      </c>
      <c r="D27" s="3" t="s">
        <v>11</v>
      </c>
      <c r="E27" s="2" t="s">
        <v>96</v>
      </c>
      <c r="F27" s="2" t="s">
        <v>97</v>
      </c>
      <c r="G27" s="2" t="s">
        <v>98</v>
      </c>
      <c r="H27" s="2" t="s">
        <v>99</v>
      </c>
    </row>
    <row r="28" spans="1:8" ht="25" x14ac:dyDescent="0.35">
      <c r="A28" s="2" t="s">
        <v>94</v>
      </c>
      <c r="B28" s="2" t="s">
        <v>9</v>
      </c>
      <c r="C28" s="2" t="s">
        <v>10</v>
      </c>
      <c r="D28" s="3" t="s">
        <v>11</v>
      </c>
      <c r="E28" s="2" t="s">
        <v>96</v>
      </c>
      <c r="F28" s="2" t="s">
        <v>100</v>
      </c>
      <c r="G28" s="2" t="s">
        <v>101</v>
      </c>
      <c r="H28" s="2" t="s">
        <v>102</v>
      </c>
    </row>
    <row r="29" spans="1:8" x14ac:dyDescent="0.35">
      <c r="A29" s="4" t="s">
        <v>35</v>
      </c>
      <c r="B29" s="4" t="s">
        <v>10</v>
      </c>
      <c r="C29" s="4" t="s">
        <v>10</v>
      </c>
      <c r="D29" s="5" t="s">
        <v>11</v>
      </c>
      <c r="E29" s="4" t="s">
        <v>96</v>
      </c>
      <c r="F29" s="4" t="s">
        <v>103</v>
      </c>
      <c r="G29" s="4" t="s">
        <v>104</v>
      </c>
      <c r="H29" s="4" t="s">
        <v>10</v>
      </c>
    </row>
    <row r="30" spans="1:8" ht="25" x14ac:dyDescent="0.35">
      <c r="A30" s="4" t="s">
        <v>35</v>
      </c>
      <c r="B30" s="4" t="s">
        <v>10</v>
      </c>
      <c r="C30" s="4" t="s">
        <v>10</v>
      </c>
      <c r="D30" s="5" t="s">
        <v>11</v>
      </c>
      <c r="E30" s="4" t="s">
        <v>96</v>
      </c>
      <c r="F30" s="4" t="s">
        <v>105</v>
      </c>
      <c r="G30" s="4" t="s">
        <v>106</v>
      </c>
      <c r="H30" s="4" t="s">
        <v>10</v>
      </c>
    </row>
    <row r="31" spans="1:8" x14ac:dyDescent="0.35">
      <c r="A31" s="4" t="s">
        <v>35</v>
      </c>
      <c r="B31" s="4" t="s">
        <v>10</v>
      </c>
      <c r="C31" s="4" t="s">
        <v>10</v>
      </c>
      <c r="D31" s="5" t="s">
        <v>11</v>
      </c>
      <c r="E31" s="4" t="s">
        <v>96</v>
      </c>
      <c r="F31" s="4" t="s">
        <v>107</v>
      </c>
      <c r="G31" s="4" t="s">
        <v>108</v>
      </c>
      <c r="H31" s="4" t="s">
        <v>10</v>
      </c>
    </row>
    <row r="32" spans="1:8" x14ac:dyDescent="0.35">
      <c r="A32" s="4" t="s">
        <v>35</v>
      </c>
      <c r="B32" s="4" t="s">
        <v>10</v>
      </c>
      <c r="C32" s="4" t="s">
        <v>10</v>
      </c>
      <c r="D32" s="5" t="s">
        <v>11</v>
      </c>
      <c r="E32" s="4" t="s">
        <v>96</v>
      </c>
      <c r="F32" s="4" t="s">
        <v>109</v>
      </c>
      <c r="G32" s="4" t="s">
        <v>110</v>
      </c>
      <c r="H32" s="4" t="s">
        <v>10</v>
      </c>
    </row>
    <row r="33" spans="1:8" x14ac:dyDescent="0.35">
      <c r="A33" s="2" t="s">
        <v>94</v>
      </c>
      <c r="B33" s="2" t="s">
        <v>9</v>
      </c>
      <c r="C33" s="2" t="s">
        <v>10</v>
      </c>
      <c r="D33" s="3" t="s">
        <v>11</v>
      </c>
      <c r="E33" s="2" t="s">
        <v>96</v>
      </c>
      <c r="F33" s="2" t="s">
        <v>111</v>
      </c>
      <c r="G33" s="2" t="s">
        <v>112</v>
      </c>
      <c r="H33" s="2" t="s">
        <v>113</v>
      </c>
    </row>
    <row r="34" spans="1:8" ht="25" x14ac:dyDescent="0.35">
      <c r="A34" s="4" t="s">
        <v>35</v>
      </c>
      <c r="B34" s="4" t="s">
        <v>10</v>
      </c>
      <c r="C34" s="4" t="s">
        <v>10</v>
      </c>
      <c r="D34" s="5" t="s">
        <v>11</v>
      </c>
      <c r="E34" s="4" t="s">
        <v>96</v>
      </c>
      <c r="F34" s="4" t="s">
        <v>114</v>
      </c>
      <c r="G34" s="4" t="s">
        <v>115</v>
      </c>
      <c r="H34" s="4" t="s">
        <v>10</v>
      </c>
    </row>
    <row r="35" spans="1:8" x14ac:dyDescent="0.35">
      <c r="A35" s="2" t="s">
        <v>116</v>
      </c>
      <c r="B35" s="2" t="s">
        <v>54</v>
      </c>
      <c r="C35" s="2" t="s">
        <v>10</v>
      </c>
      <c r="D35" s="3" t="s">
        <v>11</v>
      </c>
      <c r="E35" s="2" t="s">
        <v>117</v>
      </c>
      <c r="F35" s="2" t="s">
        <v>118</v>
      </c>
      <c r="G35" s="2" t="s">
        <v>119</v>
      </c>
      <c r="H35" s="2" t="s">
        <v>120</v>
      </c>
    </row>
    <row r="36" spans="1:8" ht="25" x14ac:dyDescent="0.35">
      <c r="A36" s="2" t="s">
        <v>116</v>
      </c>
      <c r="B36" s="2" t="s">
        <v>121</v>
      </c>
      <c r="C36" s="2" t="s">
        <v>25</v>
      </c>
      <c r="D36" s="3" t="s">
        <v>11</v>
      </c>
      <c r="E36" s="2" t="s">
        <v>117</v>
      </c>
      <c r="F36" s="2" t="s">
        <v>27</v>
      </c>
      <c r="G36" s="2" t="s">
        <v>122</v>
      </c>
      <c r="H36" s="2" t="s">
        <v>123</v>
      </c>
    </row>
    <row r="37" spans="1:8" ht="25" x14ac:dyDescent="0.35">
      <c r="A37" s="2" t="s">
        <v>116</v>
      </c>
      <c r="B37" s="2" t="s">
        <v>124</v>
      </c>
      <c r="C37" s="2" t="s">
        <v>125</v>
      </c>
      <c r="D37" s="3" t="s">
        <v>11</v>
      </c>
      <c r="E37" s="2" t="s">
        <v>117</v>
      </c>
      <c r="F37" s="2" t="s">
        <v>126</v>
      </c>
      <c r="G37" s="2" t="s">
        <v>127</v>
      </c>
      <c r="H37" s="2" t="s">
        <v>128</v>
      </c>
    </row>
    <row r="38" spans="1:8" ht="25" x14ac:dyDescent="0.35">
      <c r="A38" s="2" t="s">
        <v>116</v>
      </c>
      <c r="B38" s="2" t="s">
        <v>69</v>
      </c>
      <c r="C38" s="2" t="s">
        <v>10</v>
      </c>
      <c r="D38" s="3" t="s">
        <v>11</v>
      </c>
      <c r="E38" s="2" t="s">
        <v>117</v>
      </c>
      <c r="F38" s="2" t="s">
        <v>129</v>
      </c>
      <c r="G38" s="2" t="s">
        <v>130</v>
      </c>
      <c r="H38" s="2" t="s">
        <v>131</v>
      </c>
    </row>
    <row r="39" spans="1:8" ht="37.5" x14ac:dyDescent="0.35">
      <c r="A39" s="2" t="s">
        <v>116</v>
      </c>
      <c r="B39" s="2" t="s">
        <v>132</v>
      </c>
      <c r="C39" s="2" t="s">
        <v>25</v>
      </c>
      <c r="D39" s="3" t="s">
        <v>11</v>
      </c>
      <c r="E39" s="2" t="s">
        <v>117</v>
      </c>
      <c r="F39" s="2" t="s">
        <v>97</v>
      </c>
      <c r="G39" s="2" t="s">
        <v>133</v>
      </c>
      <c r="H39" s="2" t="s">
        <v>134</v>
      </c>
    </row>
    <row r="40" spans="1:8" x14ac:dyDescent="0.35">
      <c r="A40" s="4" t="s">
        <v>35</v>
      </c>
      <c r="B40" s="4" t="s">
        <v>10</v>
      </c>
      <c r="C40" s="4" t="s">
        <v>10</v>
      </c>
      <c r="D40" s="5" t="s">
        <v>11</v>
      </c>
      <c r="E40" s="4" t="s">
        <v>117</v>
      </c>
      <c r="F40" s="4" t="s">
        <v>135</v>
      </c>
      <c r="G40" s="4" t="s">
        <v>136</v>
      </c>
      <c r="H40" s="4" t="s">
        <v>10</v>
      </c>
    </row>
    <row r="41" spans="1:8" x14ac:dyDescent="0.35">
      <c r="A41" s="4" t="s">
        <v>35</v>
      </c>
      <c r="B41" s="4" t="s">
        <v>10</v>
      </c>
      <c r="C41" s="4" t="s">
        <v>10</v>
      </c>
      <c r="D41" s="5" t="s">
        <v>11</v>
      </c>
      <c r="E41" s="4" t="s">
        <v>117</v>
      </c>
      <c r="F41" s="4" t="s">
        <v>137</v>
      </c>
      <c r="G41" s="4" t="s">
        <v>138</v>
      </c>
      <c r="H41" s="4" t="s">
        <v>10</v>
      </c>
    </row>
    <row r="42" spans="1:8" x14ac:dyDescent="0.35">
      <c r="A42" s="4" t="s">
        <v>35</v>
      </c>
      <c r="B42" s="4" t="s">
        <v>10</v>
      </c>
      <c r="C42" s="4" t="s">
        <v>10</v>
      </c>
      <c r="D42" s="5" t="s">
        <v>11</v>
      </c>
      <c r="E42" s="4" t="s">
        <v>117</v>
      </c>
      <c r="F42" s="4" t="s">
        <v>139</v>
      </c>
      <c r="G42" s="4" t="s">
        <v>140</v>
      </c>
      <c r="H42" s="4" t="s">
        <v>10</v>
      </c>
    </row>
    <row r="43" spans="1:8" x14ac:dyDescent="0.35">
      <c r="A43" s="2" t="s">
        <v>116</v>
      </c>
      <c r="B43" s="2" t="s">
        <v>9</v>
      </c>
      <c r="C43" s="2" t="s">
        <v>10</v>
      </c>
      <c r="D43" s="3" t="s">
        <v>11</v>
      </c>
      <c r="E43" s="2" t="s">
        <v>141</v>
      </c>
      <c r="F43" s="2" t="s">
        <v>142</v>
      </c>
      <c r="G43" s="2" t="s">
        <v>143</v>
      </c>
      <c r="H43" s="2" t="s">
        <v>15</v>
      </c>
    </row>
    <row r="44" spans="1:8" x14ac:dyDescent="0.35">
      <c r="A44" s="2" t="s">
        <v>116</v>
      </c>
      <c r="B44" s="2" t="s">
        <v>144</v>
      </c>
      <c r="C44" s="2" t="s">
        <v>145</v>
      </c>
      <c r="D44" s="3" t="s">
        <v>11</v>
      </c>
      <c r="E44" s="2" t="s">
        <v>141</v>
      </c>
      <c r="F44" s="2" t="s">
        <v>118</v>
      </c>
      <c r="G44" s="2" t="s">
        <v>146</v>
      </c>
      <c r="H44" s="2" t="s">
        <v>147</v>
      </c>
    </row>
    <row r="45" spans="1:8" x14ac:dyDescent="0.35">
      <c r="A45" s="2" t="s">
        <v>116</v>
      </c>
      <c r="B45" s="2" t="s">
        <v>148</v>
      </c>
      <c r="C45" s="2" t="s">
        <v>149</v>
      </c>
      <c r="D45" s="3" t="s">
        <v>11</v>
      </c>
      <c r="E45" s="2" t="s">
        <v>141</v>
      </c>
      <c r="F45" s="2" t="s">
        <v>150</v>
      </c>
      <c r="G45" s="2" t="s">
        <v>151</v>
      </c>
      <c r="H45" s="2" t="s">
        <v>147</v>
      </c>
    </row>
    <row r="46" spans="1:8" x14ac:dyDescent="0.35">
      <c r="A46" s="4" t="s">
        <v>35</v>
      </c>
      <c r="B46" s="4" t="s">
        <v>10</v>
      </c>
      <c r="C46" s="4" t="s">
        <v>10</v>
      </c>
      <c r="D46" s="5" t="s">
        <v>11</v>
      </c>
      <c r="E46" s="4" t="s">
        <v>141</v>
      </c>
      <c r="F46" s="4" t="s">
        <v>74</v>
      </c>
      <c r="G46" s="4" t="s">
        <v>152</v>
      </c>
      <c r="H46" s="4" t="s">
        <v>10</v>
      </c>
    </row>
    <row r="47" spans="1:8" ht="50" x14ac:dyDescent="0.35">
      <c r="A47" s="2" t="s">
        <v>116</v>
      </c>
      <c r="B47" s="2" t="s">
        <v>153</v>
      </c>
      <c r="C47" s="2" t="s">
        <v>25</v>
      </c>
      <c r="D47" s="3" t="s">
        <v>11</v>
      </c>
      <c r="E47" s="2" t="s">
        <v>141</v>
      </c>
      <c r="F47" s="2" t="s">
        <v>79</v>
      </c>
      <c r="G47" s="2" t="s">
        <v>154</v>
      </c>
      <c r="H47" s="2" t="s">
        <v>155</v>
      </c>
    </row>
    <row r="48" spans="1:8" x14ac:dyDescent="0.35">
      <c r="A48" s="2" t="s">
        <v>116</v>
      </c>
      <c r="B48" s="2" t="s">
        <v>156</v>
      </c>
      <c r="C48" s="2" t="s">
        <v>157</v>
      </c>
      <c r="D48" s="3" t="s">
        <v>11</v>
      </c>
      <c r="E48" s="2" t="s">
        <v>141</v>
      </c>
      <c r="F48" s="2" t="s">
        <v>156</v>
      </c>
      <c r="G48" s="2" t="s">
        <v>158</v>
      </c>
      <c r="H48" s="2" t="s">
        <v>159</v>
      </c>
    </row>
    <row r="49" spans="1:8" x14ac:dyDescent="0.35">
      <c r="A49" s="2" t="s">
        <v>116</v>
      </c>
      <c r="B49" s="2" t="s">
        <v>160</v>
      </c>
      <c r="C49" s="2" t="s">
        <v>157</v>
      </c>
      <c r="D49" s="3" t="s">
        <v>11</v>
      </c>
      <c r="E49" s="2" t="s">
        <v>141</v>
      </c>
      <c r="F49" s="2" t="s">
        <v>161</v>
      </c>
      <c r="G49" s="2" t="s">
        <v>162</v>
      </c>
      <c r="H49" s="2" t="s">
        <v>159</v>
      </c>
    </row>
    <row r="50" spans="1:8" x14ac:dyDescent="0.35">
      <c r="A50" s="2" t="s">
        <v>116</v>
      </c>
      <c r="B50" s="2" t="s">
        <v>163</v>
      </c>
      <c r="C50" s="2" t="s">
        <v>157</v>
      </c>
      <c r="D50" s="3" t="s">
        <v>11</v>
      </c>
      <c r="E50" s="2" t="s">
        <v>141</v>
      </c>
      <c r="F50" s="2" t="s">
        <v>164</v>
      </c>
      <c r="G50" s="2" t="s">
        <v>165</v>
      </c>
      <c r="H50" s="2" t="s">
        <v>159</v>
      </c>
    </row>
    <row r="51" spans="1:8" x14ac:dyDescent="0.35">
      <c r="A51" s="4" t="s">
        <v>35</v>
      </c>
      <c r="B51" s="4" t="s">
        <v>10</v>
      </c>
      <c r="C51" s="4" t="s">
        <v>10</v>
      </c>
      <c r="D51" s="5" t="s">
        <v>11</v>
      </c>
      <c r="E51" s="4" t="s">
        <v>166</v>
      </c>
      <c r="F51" s="4" t="s">
        <v>167</v>
      </c>
      <c r="G51" s="4" t="s">
        <v>168</v>
      </c>
      <c r="H51" s="4" t="s">
        <v>10</v>
      </c>
    </row>
    <row r="52" spans="1:8" x14ac:dyDescent="0.35">
      <c r="A52" s="4" t="s">
        <v>35</v>
      </c>
      <c r="B52" s="4" t="s">
        <v>10</v>
      </c>
      <c r="C52" s="4" t="s">
        <v>10</v>
      </c>
      <c r="D52" s="5" t="s">
        <v>11</v>
      </c>
      <c r="E52" s="4" t="s">
        <v>166</v>
      </c>
      <c r="F52" s="4" t="s">
        <v>118</v>
      </c>
      <c r="G52" s="4" t="s">
        <v>169</v>
      </c>
      <c r="H52" s="4" t="s">
        <v>10</v>
      </c>
    </row>
    <row r="53" spans="1:8" x14ac:dyDescent="0.35">
      <c r="A53" s="4" t="s">
        <v>35</v>
      </c>
      <c r="B53" s="4" t="s">
        <v>10</v>
      </c>
      <c r="C53" s="4" t="s">
        <v>10</v>
      </c>
      <c r="D53" s="5" t="s">
        <v>11</v>
      </c>
      <c r="E53" s="4" t="s">
        <v>166</v>
      </c>
      <c r="F53" s="4" t="s">
        <v>129</v>
      </c>
      <c r="G53" s="4" t="s">
        <v>170</v>
      </c>
      <c r="H53" s="4" t="s">
        <v>10</v>
      </c>
    </row>
    <row r="54" spans="1:8" x14ac:dyDescent="0.35">
      <c r="A54" s="4" t="s">
        <v>35</v>
      </c>
      <c r="B54" s="4" t="s">
        <v>10</v>
      </c>
      <c r="C54" s="4" t="s">
        <v>10</v>
      </c>
      <c r="D54" s="5" t="s">
        <v>11</v>
      </c>
      <c r="E54" s="4" t="s">
        <v>166</v>
      </c>
      <c r="F54" s="4" t="s">
        <v>171</v>
      </c>
      <c r="G54" s="4" t="s">
        <v>172</v>
      </c>
      <c r="H54" s="4" t="s">
        <v>10</v>
      </c>
    </row>
    <row r="55" spans="1:8" x14ac:dyDescent="0.35">
      <c r="A55" s="4" t="s">
        <v>35</v>
      </c>
      <c r="B55" s="4" t="s">
        <v>10</v>
      </c>
      <c r="C55" s="4" t="s">
        <v>10</v>
      </c>
      <c r="D55" s="5" t="s">
        <v>11</v>
      </c>
      <c r="E55" s="4" t="s">
        <v>173</v>
      </c>
      <c r="F55" s="4" t="s">
        <v>174</v>
      </c>
      <c r="G55" s="4" t="s">
        <v>175</v>
      </c>
      <c r="H55" s="4" t="s">
        <v>10</v>
      </c>
    </row>
    <row r="56" spans="1:8" x14ac:dyDescent="0.35">
      <c r="A56" s="4" t="s">
        <v>35</v>
      </c>
      <c r="B56" s="4" t="s">
        <v>10</v>
      </c>
      <c r="C56" s="4" t="s">
        <v>10</v>
      </c>
      <c r="D56" s="5" t="s">
        <v>11</v>
      </c>
      <c r="E56" s="4" t="s">
        <v>173</v>
      </c>
      <c r="F56" s="4" t="s">
        <v>118</v>
      </c>
      <c r="G56" s="4" t="s">
        <v>176</v>
      </c>
      <c r="H56" s="4" t="s">
        <v>10</v>
      </c>
    </row>
    <row r="57" spans="1:8" x14ac:dyDescent="0.35">
      <c r="A57" s="4" t="s">
        <v>35</v>
      </c>
      <c r="B57" s="4" t="s">
        <v>10</v>
      </c>
      <c r="C57" s="4" t="s">
        <v>10</v>
      </c>
      <c r="D57" s="5" t="s">
        <v>11</v>
      </c>
      <c r="E57" s="4" t="s">
        <v>173</v>
      </c>
      <c r="F57" s="4" t="s">
        <v>177</v>
      </c>
      <c r="G57" s="4" t="s">
        <v>178</v>
      </c>
      <c r="H57" s="4" t="s">
        <v>10</v>
      </c>
    </row>
    <row r="58" spans="1:8" ht="25" x14ac:dyDescent="0.35">
      <c r="A58" s="4" t="s">
        <v>35</v>
      </c>
      <c r="B58" s="4" t="s">
        <v>10</v>
      </c>
      <c r="C58" s="4" t="s">
        <v>10</v>
      </c>
      <c r="D58" s="5" t="s">
        <v>11</v>
      </c>
      <c r="E58" s="4" t="s">
        <v>173</v>
      </c>
      <c r="F58" s="4" t="s">
        <v>179</v>
      </c>
      <c r="G58" s="4" t="s">
        <v>180</v>
      </c>
      <c r="H58" s="4" t="s">
        <v>10</v>
      </c>
    </row>
    <row r="59" spans="1:8" x14ac:dyDescent="0.35">
      <c r="A59" s="4" t="s">
        <v>35</v>
      </c>
      <c r="B59" s="4" t="s">
        <v>10</v>
      </c>
      <c r="C59" s="4" t="s">
        <v>10</v>
      </c>
      <c r="D59" s="5" t="s">
        <v>11</v>
      </c>
      <c r="E59" s="4" t="s">
        <v>173</v>
      </c>
      <c r="F59" s="4" t="s">
        <v>181</v>
      </c>
      <c r="G59" s="4" t="s">
        <v>182</v>
      </c>
      <c r="H59" s="4" t="s">
        <v>10</v>
      </c>
    </row>
    <row r="60" spans="1:8" x14ac:dyDescent="0.35">
      <c r="A60" s="4" t="s">
        <v>35</v>
      </c>
      <c r="B60" s="4" t="s">
        <v>10</v>
      </c>
      <c r="C60" s="4" t="s">
        <v>10</v>
      </c>
      <c r="D60" s="5" t="s">
        <v>11</v>
      </c>
      <c r="E60" s="4" t="s">
        <v>173</v>
      </c>
      <c r="F60" s="4" t="s">
        <v>129</v>
      </c>
      <c r="G60" s="4" t="s">
        <v>183</v>
      </c>
      <c r="H60" s="4" t="s">
        <v>10</v>
      </c>
    </row>
    <row r="61" spans="1:8" x14ac:dyDescent="0.35">
      <c r="A61" s="4" t="s">
        <v>35</v>
      </c>
      <c r="B61" s="4" t="s">
        <v>10</v>
      </c>
      <c r="C61" s="4" t="s">
        <v>10</v>
      </c>
      <c r="D61" s="5" t="s">
        <v>11</v>
      </c>
      <c r="E61" s="4" t="s">
        <v>184</v>
      </c>
      <c r="F61" s="4" t="s">
        <v>185</v>
      </c>
      <c r="G61" s="4" t="s">
        <v>186</v>
      </c>
      <c r="H61" s="4" t="s">
        <v>10</v>
      </c>
    </row>
    <row r="62" spans="1:8" x14ac:dyDescent="0.35">
      <c r="A62" s="4" t="s">
        <v>35</v>
      </c>
      <c r="B62" s="4" t="s">
        <v>10</v>
      </c>
      <c r="C62" s="4" t="s">
        <v>10</v>
      </c>
      <c r="D62" s="5" t="s">
        <v>11</v>
      </c>
      <c r="E62" s="4" t="s">
        <v>184</v>
      </c>
      <c r="F62" s="4" t="s">
        <v>118</v>
      </c>
      <c r="G62" s="4" t="s">
        <v>187</v>
      </c>
      <c r="H62" s="4" t="s">
        <v>10</v>
      </c>
    </row>
    <row r="63" spans="1:8" x14ac:dyDescent="0.35">
      <c r="A63" s="4" t="s">
        <v>35</v>
      </c>
      <c r="B63" s="4" t="s">
        <v>10</v>
      </c>
      <c r="C63" s="4" t="s">
        <v>10</v>
      </c>
      <c r="D63" s="5" t="s">
        <v>11</v>
      </c>
      <c r="E63" s="4" t="s">
        <v>184</v>
      </c>
      <c r="F63" s="4" t="s">
        <v>188</v>
      </c>
      <c r="G63" s="4" t="s">
        <v>189</v>
      </c>
      <c r="H63" s="4" t="s">
        <v>10</v>
      </c>
    </row>
    <row r="64" spans="1:8" x14ac:dyDescent="0.35">
      <c r="A64" s="4" t="s">
        <v>35</v>
      </c>
      <c r="B64" s="4" t="s">
        <v>10</v>
      </c>
      <c r="C64" s="4" t="s">
        <v>10</v>
      </c>
      <c r="D64" s="5" t="s">
        <v>11</v>
      </c>
      <c r="E64" s="4" t="s">
        <v>184</v>
      </c>
      <c r="F64" s="4" t="s">
        <v>190</v>
      </c>
      <c r="G64" s="4" t="s">
        <v>191</v>
      </c>
      <c r="H64" s="4" t="s">
        <v>10</v>
      </c>
    </row>
    <row r="65" spans="1:8" x14ac:dyDescent="0.35">
      <c r="A65" s="4" t="s">
        <v>35</v>
      </c>
      <c r="B65" s="4" t="s">
        <v>10</v>
      </c>
      <c r="C65" s="4" t="s">
        <v>10</v>
      </c>
      <c r="D65" s="5" t="s">
        <v>11</v>
      </c>
      <c r="E65" s="4" t="s">
        <v>184</v>
      </c>
      <c r="F65" s="4" t="s">
        <v>192</v>
      </c>
      <c r="G65" s="4" t="s">
        <v>193</v>
      </c>
      <c r="H65" s="4" t="s">
        <v>10</v>
      </c>
    </row>
    <row r="66" spans="1:8" x14ac:dyDescent="0.35">
      <c r="A66" s="4" t="s">
        <v>35</v>
      </c>
      <c r="B66" s="4" t="s">
        <v>10</v>
      </c>
      <c r="C66" s="4" t="s">
        <v>10</v>
      </c>
      <c r="D66" s="5" t="s">
        <v>11</v>
      </c>
      <c r="E66" s="4" t="s">
        <v>184</v>
      </c>
      <c r="F66" s="4" t="s">
        <v>194</v>
      </c>
      <c r="G66" s="4" t="s">
        <v>195</v>
      </c>
      <c r="H66" s="4" t="s">
        <v>10</v>
      </c>
    </row>
    <row r="67" spans="1:8" x14ac:dyDescent="0.35">
      <c r="A67" s="4" t="s">
        <v>35</v>
      </c>
      <c r="B67" s="4" t="s">
        <v>10</v>
      </c>
      <c r="C67" s="4" t="s">
        <v>10</v>
      </c>
      <c r="D67" s="5" t="s">
        <v>11</v>
      </c>
      <c r="E67" s="4" t="s">
        <v>196</v>
      </c>
      <c r="F67" s="4" t="s">
        <v>197</v>
      </c>
      <c r="G67" s="4" t="s">
        <v>198</v>
      </c>
      <c r="H67" s="4" t="s">
        <v>10</v>
      </c>
    </row>
    <row r="68" spans="1:8" x14ac:dyDescent="0.35">
      <c r="A68" s="2" t="s">
        <v>116</v>
      </c>
      <c r="B68" s="2" t="s">
        <v>9</v>
      </c>
      <c r="C68" s="2" t="s">
        <v>10</v>
      </c>
      <c r="D68" s="3" t="s">
        <v>11</v>
      </c>
      <c r="E68" s="2" t="s">
        <v>196</v>
      </c>
      <c r="F68" s="2" t="s">
        <v>142</v>
      </c>
      <c r="G68" s="2" t="s">
        <v>199</v>
      </c>
      <c r="H68" s="2" t="s">
        <v>15</v>
      </c>
    </row>
    <row r="69" spans="1:8" ht="25" x14ac:dyDescent="0.35">
      <c r="A69" s="2" t="s">
        <v>116</v>
      </c>
      <c r="B69" s="2" t="s">
        <v>200</v>
      </c>
      <c r="C69" s="2" t="s">
        <v>157</v>
      </c>
      <c r="D69" s="3" t="s">
        <v>11</v>
      </c>
      <c r="E69" s="2" t="s">
        <v>196</v>
      </c>
      <c r="F69" s="2" t="s">
        <v>156</v>
      </c>
      <c r="G69" s="2" t="s">
        <v>201</v>
      </c>
      <c r="H69" s="2" t="s">
        <v>202</v>
      </c>
    </row>
    <row r="70" spans="1:8" x14ac:dyDescent="0.35">
      <c r="A70" s="4" t="s">
        <v>35</v>
      </c>
      <c r="B70" s="4" t="s">
        <v>10</v>
      </c>
      <c r="C70" s="4" t="s">
        <v>10</v>
      </c>
      <c r="D70" s="5" t="s">
        <v>11</v>
      </c>
      <c r="E70" s="4" t="s">
        <v>196</v>
      </c>
      <c r="F70" s="4" t="s">
        <v>203</v>
      </c>
      <c r="G70" s="4" t="s">
        <v>204</v>
      </c>
      <c r="H70" s="4" t="s">
        <v>10</v>
      </c>
    </row>
    <row r="71" spans="1:8" ht="25" x14ac:dyDescent="0.35">
      <c r="A71" s="2" t="s">
        <v>116</v>
      </c>
      <c r="B71" s="2" t="s">
        <v>205</v>
      </c>
      <c r="C71" s="2" t="s">
        <v>157</v>
      </c>
      <c r="D71" s="3" t="s">
        <v>11</v>
      </c>
      <c r="E71" s="2" t="s">
        <v>196</v>
      </c>
      <c r="F71" s="2" t="s">
        <v>206</v>
      </c>
      <c r="G71" s="2" t="s">
        <v>207</v>
      </c>
      <c r="H71" s="2" t="s">
        <v>159</v>
      </c>
    </row>
    <row r="72" spans="1:8" x14ac:dyDescent="0.35">
      <c r="A72" s="4" t="s">
        <v>35</v>
      </c>
      <c r="B72" s="4" t="s">
        <v>10</v>
      </c>
      <c r="C72" s="4" t="s">
        <v>10</v>
      </c>
      <c r="D72" s="5" t="s">
        <v>11</v>
      </c>
      <c r="E72" s="4" t="s">
        <v>196</v>
      </c>
      <c r="F72" s="4" t="s">
        <v>129</v>
      </c>
      <c r="G72" s="4" t="s">
        <v>208</v>
      </c>
      <c r="H72" s="4" t="s">
        <v>10</v>
      </c>
    </row>
    <row r="73" spans="1:8" x14ac:dyDescent="0.35">
      <c r="A73" s="4" t="s">
        <v>35</v>
      </c>
      <c r="B73" s="4" t="s">
        <v>10</v>
      </c>
      <c r="C73" s="4" t="s">
        <v>10</v>
      </c>
      <c r="D73" s="5" t="s">
        <v>11</v>
      </c>
      <c r="E73" s="4" t="s">
        <v>196</v>
      </c>
      <c r="F73" s="4" t="s">
        <v>209</v>
      </c>
      <c r="G73" s="4" t="s">
        <v>210</v>
      </c>
      <c r="H73" s="4" t="s">
        <v>10</v>
      </c>
    </row>
    <row r="74" spans="1:8" x14ac:dyDescent="0.35">
      <c r="A74" s="4" t="s">
        <v>35</v>
      </c>
      <c r="B74" s="4" t="s">
        <v>10</v>
      </c>
      <c r="C74" s="4" t="s">
        <v>10</v>
      </c>
      <c r="D74" s="5" t="s">
        <v>211</v>
      </c>
      <c r="E74" s="4" t="s">
        <v>212</v>
      </c>
      <c r="F74" s="4" t="s">
        <v>213</v>
      </c>
      <c r="G74" s="4" t="s">
        <v>214</v>
      </c>
      <c r="H74" s="4" t="s">
        <v>10</v>
      </c>
    </row>
    <row r="75" spans="1:8" ht="25" x14ac:dyDescent="0.35">
      <c r="A75" s="2" t="s">
        <v>215</v>
      </c>
      <c r="B75" s="2" t="s">
        <v>216</v>
      </c>
      <c r="C75" s="2" t="s">
        <v>217</v>
      </c>
      <c r="D75" s="3" t="s">
        <v>211</v>
      </c>
      <c r="E75" s="2" t="s">
        <v>212</v>
      </c>
      <c r="F75" s="2" t="s">
        <v>218</v>
      </c>
      <c r="G75" s="2" t="s">
        <v>219</v>
      </c>
      <c r="H75" s="2" t="s">
        <v>220</v>
      </c>
    </row>
    <row r="76" spans="1:8" x14ac:dyDescent="0.35">
      <c r="A76" s="2" t="s">
        <v>215</v>
      </c>
      <c r="B76" s="2" t="s">
        <v>221</v>
      </c>
      <c r="C76" s="2" t="s">
        <v>222</v>
      </c>
      <c r="D76" s="3" t="s">
        <v>211</v>
      </c>
      <c r="E76" s="2" t="s">
        <v>212</v>
      </c>
      <c r="F76" s="2" t="s">
        <v>223</v>
      </c>
      <c r="G76" s="2" t="s">
        <v>224</v>
      </c>
      <c r="H76" s="2" t="s">
        <v>225</v>
      </c>
    </row>
    <row r="77" spans="1:8" x14ac:dyDescent="0.35">
      <c r="A77" s="2" t="s">
        <v>215</v>
      </c>
      <c r="B77" s="2" t="s">
        <v>61</v>
      </c>
      <c r="C77" s="2" t="s">
        <v>17</v>
      </c>
      <c r="D77" s="3" t="s">
        <v>211</v>
      </c>
      <c r="E77" s="2" t="s">
        <v>212</v>
      </c>
      <c r="F77" s="2" t="s">
        <v>62</v>
      </c>
      <c r="G77" s="2" t="s">
        <v>226</v>
      </c>
      <c r="H77" s="2" t="s">
        <v>227</v>
      </c>
    </row>
    <row r="78" spans="1:8" x14ac:dyDescent="0.35">
      <c r="A78" s="2" t="s">
        <v>215</v>
      </c>
      <c r="B78" s="2" t="s">
        <v>228</v>
      </c>
      <c r="C78" s="2" t="s">
        <v>17</v>
      </c>
      <c r="D78" s="3" t="s">
        <v>211</v>
      </c>
      <c r="E78" s="2" t="s">
        <v>212</v>
      </c>
      <c r="F78" s="2" t="s">
        <v>65</v>
      </c>
      <c r="G78" s="2" t="s">
        <v>151</v>
      </c>
      <c r="H78" s="2" t="s">
        <v>229</v>
      </c>
    </row>
    <row r="79" spans="1:8" x14ac:dyDescent="0.35">
      <c r="A79" s="2" t="s">
        <v>215</v>
      </c>
      <c r="B79" s="2" t="s">
        <v>230</v>
      </c>
      <c r="C79" s="2" t="s">
        <v>39</v>
      </c>
      <c r="D79" s="3" t="s">
        <v>211</v>
      </c>
      <c r="E79" s="2" t="s">
        <v>212</v>
      </c>
      <c r="F79" s="2" t="s">
        <v>230</v>
      </c>
      <c r="G79" s="2" t="s">
        <v>231</v>
      </c>
      <c r="H79" s="2" t="s">
        <v>229</v>
      </c>
    </row>
    <row r="80" spans="1:8" x14ac:dyDescent="0.35">
      <c r="A80" s="4" t="s">
        <v>35</v>
      </c>
      <c r="B80" s="4" t="s">
        <v>10</v>
      </c>
      <c r="C80" s="4" t="s">
        <v>10</v>
      </c>
      <c r="D80" s="5" t="s">
        <v>211</v>
      </c>
      <c r="E80" s="4" t="s">
        <v>212</v>
      </c>
      <c r="F80" s="4" t="s">
        <v>232</v>
      </c>
      <c r="G80" s="4" t="s">
        <v>233</v>
      </c>
      <c r="H80" s="4" t="s">
        <v>10</v>
      </c>
    </row>
    <row r="81" spans="1:8" x14ac:dyDescent="0.35">
      <c r="A81" s="4" t="s">
        <v>35</v>
      </c>
      <c r="B81" s="4" t="s">
        <v>10</v>
      </c>
      <c r="C81" s="4" t="s">
        <v>10</v>
      </c>
      <c r="D81" s="5" t="s">
        <v>211</v>
      </c>
      <c r="E81" s="4" t="s">
        <v>234</v>
      </c>
      <c r="F81" s="4" t="s">
        <v>235</v>
      </c>
      <c r="G81" s="4" t="s">
        <v>236</v>
      </c>
      <c r="H81" s="4" t="s">
        <v>10</v>
      </c>
    </row>
    <row r="82" spans="1:8" x14ac:dyDescent="0.35">
      <c r="A82" s="4" t="s">
        <v>35</v>
      </c>
      <c r="B82" s="4" t="s">
        <v>10</v>
      </c>
      <c r="C82" s="4" t="s">
        <v>10</v>
      </c>
      <c r="D82" s="5" t="s">
        <v>211</v>
      </c>
      <c r="E82" s="4" t="s">
        <v>234</v>
      </c>
      <c r="F82" s="4" t="s">
        <v>237</v>
      </c>
      <c r="G82" s="4" t="s">
        <v>238</v>
      </c>
      <c r="H82" s="4" t="s">
        <v>10</v>
      </c>
    </row>
    <row r="83" spans="1:8" x14ac:dyDescent="0.35">
      <c r="A83" s="4" t="s">
        <v>35</v>
      </c>
      <c r="B83" s="4" t="s">
        <v>10</v>
      </c>
      <c r="C83" s="4" t="s">
        <v>10</v>
      </c>
      <c r="D83" s="5" t="s">
        <v>211</v>
      </c>
      <c r="E83" s="4" t="s">
        <v>234</v>
      </c>
      <c r="F83" s="4" t="s">
        <v>213</v>
      </c>
      <c r="G83" s="4" t="s">
        <v>238</v>
      </c>
      <c r="H83" s="4" t="s">
        <v>10</v>
      </c>
    </row>
    <row r="84" spans="1:8" x14ac:dyDescent="0.35">
      <c r="A84" s="4" t="s">
        <v>35</v>
      </c>
      <c r="B84" s="4" t="s">
        <v>10</v>
      </c>
      <c r="C84" s="4" t="s">
        <v>10</v>
      </c>
      <c r="D84" s="5" t="s">
        <v>211</v>
      </c>
      <c r="E84" s="4" t="s">
        <v>234</v>
      </c>
      <c r="F84" s="4" t="s">
        <v>32</v>
      </c>
      <c r="G84" s="4" t="s">
        <v>239</v>
      </c>
      <c r="H84" s="4" t="s">
        <v>10</v>
      </c>
    </row>
    <row r="85" spans="1:8" x14ac:dyDescent="0.35">
      <c r="A85" s="4" t="s">
        <v>35</v>
      </c>
      <c r="B85" s="4" t="s">
        <v>10</v>
      </c>
      <c r="C85" s="4" t="s">
        <v>10</v>
      </c>
      <c r="D85" s="5" t="s">
        <v>211</v>
      </c>
      <c r="E85" s="4" t="s">
        <v>234</v>
      </c>
      <c r="F85" s="4" t="s">
        <v>240</v>
      </c>
      <c r="G85" s="4" t="s">
        <v>241</v>
      </c>
      <c r="H85" s="4" t="s">
        <v>10</v>
      </c>
    </row>
    <row r="86" spans="1:8" x14ac:dyDescent="0.35">
      <c r="A86" s="4" t="s">
        <v>35</v>
      </c>
      <c r="B86" s="4" t="s">
        <v>10</v>
      </c>
      <c r="C86" s="4" t="s">
        <v>10</v>
      </c>
      <c r="D86" s="5" t="s">
        <v>211</v>
      </c>
      <c r="E86" s="4" t="s">
        <v>234</v>
      </c>
      <c r="F86" s="4" t="s">
        <v>242</v>
      </c>
      <c r="G86" s="4" t="s">
        <v>243</v>
      </c>
      <c r="H86" s="4" t="s">
        <v>10</v>
      </c>
    </row>
    <row r="87" spans="1:8" ht="25" x14ac:dyDescent="0.35">
      <c r="A87" s="2" t="s">
        <v>23</v>
      </c>
      <c r="B87" s="2" t="s">
        <v>244</v>
      </c>
      <c r="C87" s="2" t="s">
        <v>217</v>
      </c>
      <c r="D87" s="3" t="s">
        <v>211</v>
      </c>
      <c r="E87" s="2" t="s">
        <v>245</v>
      </c>
      <c r="F87" s="2" t="s">
        <v>244</v>
      </c>
      <c r="G87" s="2" t="s">
        <v>246</v>
      </c>
      <c r="H87" s="2" t="s">
        <v>247</v>
      </c>
    </row>
    <row r="88" spans="1:8" ht="25" x14ac:dyDescent="0.35">
      <c r="A88" s="2" t="s">
        <v>23</v>
      </c>
      <c r="B88" s="2" t="s">
        <v>30</v>
      </c>
      <c r="C88" s="2" t="s">
        <v>31</v>
      </c>
      <c r="D88" s="3" t="s">
        <v>211</v>
      </c>
      <c r="E88" s="2" t="s">
        <v>245</v>
      </c>
      <c r="F88" s="2" t="s">
        <v>248</v>
      </c>
      <c r="G88" s="2" t="s">
        <v>249</v>
      </c>
      <c r="H88" s="2" t="s">
        <v>34</v>
      </c>
    </row>
    <row r="89" spans="1:8" ht="25" x14ac:dyDescent="0.35">
      <c r="A89" s="2" t="s">
        <v>23</v>
      </c>
      <c r="B89" s="2" t="s">
        <v>38</v>
      </c>
      <c r="C89" s="2" t="s">
        <v>39</v>
      </c>
      <c r="D89" s="3" t="s">
        <v>211</v>
      </c>
      <c r="E89" s="2" t="s">
        <v>245</v>
      </c>
      <c r="F89" s="2" t="s">
        <v>250</v>
      </c>
      <c r="G89" s="2" t="s">
        <v>251</v>
      </c>
      <c r="H89" s="2" t="s">
        <v>252</v>
      </c>
    </row>
    <row r="90" spans="1:8" ht="25" x14ac:dyDescent="0.35">
      <c r="A90" s="2" t="s">
        <v>23</v>
      </c>
      <c r="B90" s="2" t="s">
        <v>61</v>
      </c>
      <c r="C90" s="2" t="s">
        <v>17</v>
      </c>
      <c r="D90" s="3" t="s">
        <v>211</v>
      </c>
      <c r="E90" s="2" t="s">
        <v>245</v>
      </c>
      <c r="F90" s="2" t="s">
        <v>61</v>
      </c>
      <c r="G90" s="2" t="s">
        <v>253</v>
      </c>
      <c r="H90" s="2" t="s">
        <v>254</v>
      </c>
    </row>
    <row r="91" spans="1:8" x14ac:dyDescent="0.35">
      <c r="A91" s="4" t="s">
        <v>35</v>
      </c>
      <c r="B91" s="4" t="s">
        <v>10</v>
      </c>
      <c r="C91" s="4" t="s">
        <v>10</v>
      </c>
      <c r="D91" s="5" t="s">
        <v>211</v>
      </c>
      <c r="E91" s="4" t="s">
        <v>245</v>
      </c>
      <c r="F91" s="4" t="s">
        <v>255</v>
      </c>
      <c r="G91" s="4" t="s">
        <v>256</v>
      </c>
      <c r="H91" s="4" t="s">
        <v>10</v>
      </c>
    </row>
    <row r="92" spans="1:8" ht="25" x14ac:dyDescent="0.35">
      <c r="A92" s="2" t="s">
        <v>76</v>
      </c>
      <c r="B92" s="2" t="s">
        <v>77</v>
      </c>
      <c r="C92" s="2" t="s">
        <v>78</v>
      </c>
      <c r="D92" s="3" t="s">
        <v>211</v>
      </c>
      <c r="E92" s="2" t="s">
        <v>257</v>
      </c>
      <c r="F92" s="2" t="s">
        <v>258</v>
      </c>
      <c r="G92" s="2" t="s">
        <v>259</v>
      </c>
      <c r="H92" s="2" t="s">
        <v>260</v>
      </c>
    </row>
    <row r="93" spans="1:8" x14ac:dyDescent="0.35">
      <c r="A93" s="4" t="s">
        <v>35</v>
      </c>
      <c r="B93" s="4" t="s">
        <v>10</v>
      </c>
      <c r="C93" s="4" t="s">
        <v>10</v>
      </c>
      <c r="D93" s="5" t="s">
        <v>211</v>
      </c>
      <c r="E93" s="4" t="s">
        <v>257</v>
      </c>
      <c r="F93" s="4" t="s">
        <v>261</v>
      </c>
      <c r="G93" s="4" t="s">
        <v>262</v>
      </c>
      <c r="H93" s="4" t="s">
        <v>10</v>
      </c>
    </row>
    <row r="94" spans="1:8" ht="25" x14ac:dyDescent="0.35">
      <c r="A94" s="2" t="s">
        <v>76</v>
      </c>
      <c r="B94" s="2" t="s">
        <v>263</v>
      </c>
      <c r="C94" s="2" t="s">
        <v>84</v>
      </c>
      <c r="D94" s="3" t="s">
        <v>211</v>
      </c>
      <c r="E94" s="2" t="s">
        <v>257</v>
      </c>
      <c r="F94" s="2" t="s">
        <v>85</v>
      </c>
      <c r="G94" s="2" t="s">
        <v>264</v>
      </c>
      <c r="H94" s="2" t="s">
        <v>265</v>
      </c>
    </row>
    <row r="95" spans="1:8" x14ac:dyDescent="0.35">
      <c r="A95" s="4" t="s">
        <v>35</v>
      </c>
      <c r="B95" s="4" t="s">
        <v>10</v>
      </c>
      <c r="C95" s="4" t="s">
        <v>10</v>
      </c>
      <c r="D95" s="5" t="s">
        <v>211</v>
      </c>
      <c r="E95" s="4" t="s">
        <v>257</v>
      </c>
      <c r="F95" s="4" t="s">
        <v>266</v>
      </c>
      <c r="G95" s="4" t="s">
        <v>267</v>
      </c>
      <c r="H95" s="4" t="s">
        <v>10</v>
      </c>
    </row>
    <row r="96" spans="1:8" x14ac:dyDescent="0.35">
      <c r="A96" s="4" t="s">
        <v>35</v>
      </c>
      <c r="B96" s="4" t="s">
        <v>10</v>
      </c>
      <c r="C96" s="4" t="s">
        <v>10</v>
      </c>
      <c r="D96" s="5" t="s">
        <v>211</v>
      </c>
      <c r="E96" s="4" t="s">
        <v>257</v>
      </c>
      <c r="F96" s="4" t="s">
        <v>268</v>
      </c>
      <c r="G96" s="4" t="s">
        <v>269</v>
      </c>
      <c r="H96" s="4" t="s">
        <v>10</v>
      </c>
    </row>
    <row r="97" spans="1:8" ht="37.5" x14ac:dyDescent="0.35">
      <c r="A97" s="2" t="s">
        <v>116</v>
      </c>
      <c r="B97" s="2" t="s">
        <v>54</v>
      </c>
      <c r="C97" s="2" t="s">
        <v>10</v>
      </c>
      <c r="D97" s="3" t="s">
        <v>211</v>
      </c>
      <c r="E97" s="2" t="s">
        <v>270</v>
      </c>
      <c r="F97" s="2" t="s">
        <v>271</v>
      </c>
      <c r="G97" s="2" t="s">
        <v>272</v>
      </c>
      <c r="H97" s="2" t="s">
        <v>273</v>
      </c>
    </row>
    <row r="98" spans="1:8" x14ac:dyDescent="0.35">
      <c r="A98" s="2" t="s">
        <v>116</v>
      </c>
      <c r="B98" s="2" t="s">
        <v>274</v>
      </c>
      <c r="C98" s="2" t="s">
        <v>25</v>
      </c>
      <c r="D98" s="3" t="s">
        <v>211</v>
      </c>
      <c r="E98" s="2" t="s">
        <v>270</v>
      </c>
      <c r="F98" s="2" t="s">
        <v>218</v>
      </c>
      <c r="G98" s="2" t="s">
        <v>275</v>
      </c>
      <c r="H98" s="2" t="s">
        <v>276</v>
      </c>
    </row>
    <row r="99" spans="1:8" x14ac:dyDescent="0.35">
      <c r="A99" s="4" t="s">
        <v>35</v>
      </c>
      <c r="B99" s="4" t="s">
        <v>10</v>
      </c>
      <c r="C99" s="4" t="s">
        <v>10</v>
      </c>
      <c r="D99" s="5" t="s">
        <v>211</v>
      </c>
      <c r="E99" s="4" t="s">
        <v>270</v>
      </c>
      <c r="F99" s="4" t="s">
        <v>277</v>
      </c>
      <c r="G99" s="4" t="s">
        <v>278</v>
      </c>
      <c r="H99" s="4" t="s">
        <v>10</v>
      </c>
    </row>
    <row r="100" spans="1:8" ht="25" x14ac:dyDescent="0.35">
      <c r="A100" s="2" t="s">
        <v>116</v>
      </c>
      <c r="B100" s="2" t="s">
        <v>121</v>
      </c>
      <c r="C100" s="2" t="s">
        <v>25</v>
      </c>
      <c r="D100" s="3" t="s">
        <v>211</v>
      </c>
      <c r="E100" s="2" t="s">
        <v>270</v>
      </c>
      <c r="F100" s="2" t="s">
        <v>244</v>
      </c>
      <c r="G100" s="2" t="s">
        <v>279</v>
      </c>
      <c r="H100" s="2" t="s">
        <v>280</v>
      </c>
    </row>
    <row r="101" spans="1:8" ht="37.5" x14ac:dyDescent="0.35">
      <c r="A101" s="2" t="s">
        <v>116</v>
      </c>
      <c r="B101" s="2" t="s">
        <v>281</v>
      </c>
      <c r="C101" s="2" t="s">
        <v>25</v>
      </c>
      <c r="D101" s="3" t="s">
        <v>211</v>
      </c>
      <c r="E101" s="2" t="s">
        <v>270</v>
      </c>
      <c r="F101" s="2" t="s">
        <v>282</v>
      </c>
      <c r="G101" s="2" t="s">
        <v>283</v>
      </c>
      <c r="H101" s="2" t="s">
        <v>284</v>
      </c>
    </row>
    <row r="102" spans="1:8" ht="25" x14ac:dyDescent="0.35">
      <c r="A102" s="4" t="s">
        <v>35</v>
      </c>
      <c r="B102" s="4" t="s">
        <v>10</v>
      </c>
      <c r="C102" s="4" t="s">
        <v>10</v>
      </c>
      <c r="D102" s="5" t="s">
        <v>211</v>
      </c>
      <c r="E102" s="4" t="s">
        <v>270</v>
      </c>
      <c r="F102" s="4" t="s">
        <v>285</v>
      </c>
      <c r="G102" s="4" t="s">
        <v>286</v>
      </c>
      <c r="H102" s="4" t="s">
        <v>10</v>
      </c>
    </row>
    <row r="103" spans="1:8" x14ac:dyDescent="0.35">
      <c r="A103" s="2" t="s">
        <v>116</v>
      </c>
      <c r="B103" s="2" t="s">
        <v>69</v>
      </c>
      <c r="C103" s="2" t="s">
        <v>10</v>
      </c>
      <c r="D103" s="3" t="s">
        <v>211</v>
      </c>
      <c r="E103" s="2" t="s">
        <v>270</v>
      </c>
      <c r="F103" s="2" t="s">
        <v>129</v>
      </c>
      <c r="G103" s="2" t="s">
        <v>287</v>
      </c>
      <c r="H103" s="2" t="s">
        <v>288</v>
      </c>
    </row>
    <row r="104" spans="1:8" ht="25" x14ac:dyDescent="0.35">
      <c r="A104" s="2" t="s">
        <v>116</v>
      </c>
      <c r="B104" s="2" t="s">
        <v>144</v>
      </c>
      <c r="C104" s="2" t="s">
        <v>145</v>
      </c>
      <c r="D104" s="3" t="s">
        <v>211</v>
      </c>
      <c r="E104" s="2" t="s">
        <v>289</v>
      </c>
      <c r="F104" s="2" t="s">
        <v>271</v>
      </c>
      <c r="G104" s="2" t="s">
        <v>290</v>
      </c>
      <c r="H104" s="2" t="s">
        <v>291</v>
      </c>
    </row>
    <row r="105" spans="1:8" x14ac:dyDescent="0.35">
      <c r="A105" s="2" t="s">
        <v>116</v>
      </c>
      <c r="B105" s="2" t="s">
        <v>148</v>
      </c>
      <c r="C105" s="2" t="s">
        <v>149</v>
      </c>
      <c r="D105" s="3" t="s">
        <v>211</v>
      </c>
      <c r="E105" s="2" t="s">
        <v>289</v>
      </c>
      <c r="F105" s="2" t="s">
        <v>292</v>
      </c>
      <c r="G105" s="2" t="s">
        <v>151</v>
      </c>
      <c r="H105" s="2" t="s">
        <v>293</v>
      </c>
    </row>
    <row r="106" spans="1:8" ht="25" x14ac:dyDescent="0.35">
      <c r="A106" s="2" t="s">
        <v>116</v>
      </c>
      <c r="B106" s="2" t="s">
        <v>153</v>
      </c>
      <c r="C106" s="2" t="s">
        <v>25</v>
      </c>
      <c r="D106" s="3" t="s">
        <v>211</v>
      </c>
      <c r="E106" s="2" t="s">
        <v>289</v>
      </c>
      <c r="F106" s="2" t="s">
        <v>258</v>
      </c>
      <c r="G106" s="2" t="s">
        <v>294</v>
      </c>
      <c r="H106" s="2" t="s">
        <v>295</v>
      </c>
    </row>
    <row r="107" spans="1:8" x14ac:dyDescent="0.35">
      <c r="A107" s="2" t="s">
        <v>116</v>
      </c>
      <c r="B107" s="2" t="s">
        <v>156</v>
      </c>
      <c r="C107" s="2" t="s">
        <v>157</v>
      </c>
      <c r="D107" s="3" t="s">
        <v>211</v>
      </c>
      <c r="E107" s="2" t="s">
        <v>289</v>
      </c>
      <c r="F107" s="2" t="s">
        <v>156</v>
      </c>
      <c r="G107" s="2" t="s">
        <v>151</v>
      </c>
      <c r="H107" s="2" t="s">
        <v>296</v>
      </c>
    </row>
    <row r="108" spans="1:8" x14ac:dyDescent="0.35">
      <c r="A108" s="2" t="s">
        <v>116</v>
      </c>
      <c r="B108" s="2" t="s">
        <v>160</v>
      </c>
      <c r="C108" s="2" t="s">
        <v>157</v>
      </c>
      <c r="D108" s="3" t="s">
        <v>211</v>
      </c>
      <c r="E108" s="2" t="s">
        <v>289</v>
      </c>
      <c r="F108" s="2" t="s">
        <v>297</v>
      </c>
      <c r="G108" s="2" t="s">
        <v>298</v>
      </c>
      <c r="H108" s="2" t="s">
        <v>299</v>
      </c>
    </row>
    <row r="109" spans="1:8" ht="50" x14ac:dyDescent="0.35">
      <c r="A109" s="2" t="s">
        <v>116</v>
      </c>
      <c r="B109" s="2" t="s">
        <v>163</v>
      </c>
      <c r="C109" s="2" t="s">
        <v>157</v>
      </c>
      <c r="D109" s="3" t="s">
        <v>211</v>
      </c>
      <c r="E109" s="2" t="s">
        <v>289</v>
      </c>
      <c r="F109" s="2" t="s">
        <v>300</v>
      </c>
      <c r="G109" s="2" t="s">
        <v>301</v>
      </c>
      <c r="H109" s="2" t="s">
        <v>302</v>
      </c>
    </row>
    <row r="110" spans="1:8" x14ac:dyDescent="0.35">
      <c r="A110" s="4" t="s">
        <v>35</v>
      </c>
      <c r="B110" s="4" t="s">
        <v>10</v>
      </c>
      <c r="C110" s="4" t="s">
        <v>10</v>
      </c>
      <c r="D110" s="5" t="s">
        <v>211</v>
      </c>
      <c r="E110" s="4" t="s">
        <v>303</v>
      </c>
      <c r="F110" s="4" t="s">
        <v>271</v>
      </c>
      <c r="G110" s="4" t="s">
        <v>304</v>
      </c>
      <c r="H110" s="4" t="s">
        <v>10</v>
      </c>
    </row>
    <row r="111" spans="1:8" x14ac:dyDescent="0.35">
      <c r="A111" s="4" t="s">
        <v>35</v>
      </c>
      <c r="B111" s="4" t="s">
        <v>10</v>
      </c>
      <c r="C111" s="4" t="s">
        <v>10</v>
      </c>
      <c r="D111" s="5" t="s">
        <v>211</v>
      </c>
      <c r="E111" s="4" t="s">
        <v>303</v>
      </c>
      <c r="F111" s="4" t="s">
        <v>305</v>
      </c>
      <c r="G111" s="4" t="s">
        <v>306</v>
      </c>
      <c r="H111" s="4" t="s">
        <v>10</v>
      </c>
    </row>
    <row r="112" spans="1:8" x14ac:dyDescent="0.35">
      <c r="A112" s="4" t="s">
        <v>35</v>
      </c>
      <c r="B112" s="4" t="s">
        <v>10</v>
      </c>
      <c r="C112" s="4" t="s">
        <v>10</v>
      </c>
      <c r="D112" s="5" t="s">
        <v>211</v>
      </c>
      <c r="E112" s="4" t="s">
        <v>303</v>
      </c>
      <c r="F112" s="4" t="s">
        <v>179</v>
      </c>
      <c r="G112" s="4" t="s">
        <v>307</v>
      </c>
      <c r="H112" s="4" t="s">
        <v>10</v>
      </c>
    </row>
    <row r="113" spans="1:8" x14ac:dyDescent="0.35">
      <c r="A113" s="4" t="s">
        <v>35</v>
      </c>
      <c r="B113" s="4" t="s">
        <v>10</v>
      </c>
      <c r="C113" s="4" t="s">
        <v>10</v>
      </c>
      <c r="D113" s="5" t="s">
        <v>308</v>
      </c>
      <c r="E113" s="4" t="s">
        <v>309</v>
      </c>
      <c r="F113" s="4" t="s">
        <v>310</v>
      </c>
      <c r="G113" s="4" t="s">
        <v>311</v>
      </c>
      <c r="H113" s="4" t="s">
        <v>10</v>
      </c>
    </row>
    <row r="114" spans="1:8" x14ac:dyDescent="0.35">
      <c r="A114" s="4" t="s">
        <v>35</v>
      </c>
      <c r="B114" s="4" t="s">
        <v>10</v>
      </c>
      <c r="C114" s="4" t="s">
        <v>10</v>
      </c>
      <c r="D114" s="5" t="s">
        <v>308</v>
      </c>
      <c r="E114" s="4" t="s">
        <v>309</v>
      </c>
      <c r="F114" s="4" t="s">
        <v>312</v>
      </c>
      <c r="G114" s="4" t="s">
        <v>313</v>
      </c>
      <c r="H114" s="4" t="s">
        <v>10</v>
      </c>
    </row>
    <row r="115" spans="1:8" ht="25" x14ac:dyDescent="0.35">
      <c r="A115" s="2" t="s">
        <v>116</v>
      </c>
      <c r="B115" s="2" t="s">
        <v>144</v>
      </c>
      <c r="C115" s="2" t="s">
        <v>145</v>
      </c>
      <c r="D115" s="3" t="s">
        <v>308</v>
      </c>
      <c r="E115" s="2" t="s">
        <v>309</v>
      </c>
      <c r="F115" s="2" t="s">
        <v>314</v>
      </c>
      <c r="G115" s="2" t="s">
        <v>315</v>
      </c>
      <c r="H115" s="2" t="s">
        <v>316</v>
      </c>
    </row>
    <row r="116" spans="1:8" ht="37.5" x14ac:dyDescent="0.35">
      <c r="A116" s="2" t="s">
        <v>116</v>
      </c>
      <c r="B116" s="2" t="s">
        <v>124</v>
      </c>
      <c r="C116" s="2" t="s">
        <v>125</v>
      </c>
      <c r="D116" s="3" t="s">
        <v>308</v>
      </c>
      <c r="E116" s="2" t="s">
        <v>309</v>
      </c>
      <c r="F116" s="2" t="s">
        <v>317</v>
      </c>
      <c r="G116" s="2" t="s">
        <v>318</v>
      </c>
      <c r="H116" s="2" t="s">
        <v>319</v>
      </c>
    </row>
    <row r="117" spans="1:8" ht="25" x14ac:dyDescent="0.35">
      <c r="A117" s="2" t="s">
        <v>116</v>
      </c>
      <c r="B117" s="2" t="s">
        <v>274</v>
      </c>
      <c r="C117" s="2" t="s">
        <v>25</v>
      </c>
      <c r="D117" s="3" t="s">
        <v>308</v>
      </c>
      <c r="E117" s="2" t="s">
        <v>309</v>
      </c>
      <c r="F117" s="2" t="s">
        <v>320</v>
      </c>
      <c r="G117" s="2" t="s">
        <v>321</v>
      </c>
      <c r="H117" s="2" t="s">
        <v>322</v>
      </c>
    </row>
    <row r="118" spans="1:8" ht="25" x14ac:dyDescent="0.35">
      <c r="A118" s="2" t="s">
        <v>23</v>
      </c>
      <c r="B118" s="2" t="s">
        <v>323</v>
      </c>
      <c r="C118" s="2" t="s">
        <v>324</v>
      </c>
      <c r="D118" s="3" t="s">
        <v>308</v>
      </c>
      <c r="E118" s="2" t="s">
        <v>309</v>
      </c>
      <c r="F118" s="2" t="s">
        <v>325</v>
      </c>
      <c r="G118" s="2" t="s">
        <v>326</v>
      </c>
      <c r="H118" s="2" t="s">
        <v>327</v>
      </c>
    </row>
    <row r="119" spans="1:8" ht="25" x14ac:dyDescent="0.35">
      <c r="A119" s="2" t="s">
        <v>23</v>
      </c>
      <c r="B119" s="2" t="s">
        <v>61</v>
      </c>
      <c r="C119" s="2" t="s">
        <v>17</v>
      </c>
      <c r="D119" s="3" t="s">
        <v>308</v>
      </c>
      <c r="E119" s="2" t="s">
        <v>309</v>
      </c>
      <c r="F119" s="2" t="s">
        <v>328</v>
      </c>
      <c r="G119" s="2" t="s">
        <v>329</v>
      </c>
      <c r="H119" s="2" t="s">
        <v>330</v>
      </c>
    </row>
    <row r="120" spans="1:8" ht="37.5" x14ac:dyDescent="0.35">
      <c r="A120" s="2" t="s">
        <v>116</v>
      </c>
      <c r="B120" s="2" t="s">
        <v>153</v>
      </c>
      <c r="C120" s="2" t="s">
        <v>25</v>
      </c>
      <c r="D120" s="3" t="s">
        <v>308</v>
      </c>
      <c r="E120" s="2" t="s">
        <v>309</v>
      </c>
      <c r="F120" s="2" t="s">
        <v>331</v>
      </c>
      <c r="G120" s="2" t="s">
        <v>332</v>
      </c>
      <c r="H120" s="2" t="s">
        <v>333</v>
      </c>
    </row>
    <row r="121" spans="1:8" x14ac:dyDescent="0.35">
      <c r="A121" s="2" t="s">
        <v>116</v>
      </c>
      <c r="B121" s="2" t="s">
        <v>156</v>
      </c>
      <c r="C121" s="2" t="s">
        <v>157</v>
      </c>
      <c r="D121" s="3" t="s">
        <v>308</v>
      </c>
      <c r="E121" s="2" t="s">
        <v>309</v>
      </c>
      <c r="F121" s="2" t="s">
        <v>334</v>
      </c>
      <c r="G121" s="2" t="s">
        <v>335</v>
      </c>
      <c r="H121" s="2" t="s">
        <v>336</v>
      </c>
    </row>
    <row r="122" spans="1:8" x14ac:dyDescent="0.35">
      <c r="A122" s="2" t="s">
        <v>116</v>
      </c>
      <c r="B122" s="2" t="s">
        <v>160</v>
      </c>
      <c r="C122" s="2" t="s">
        <v>157</v>
      </c>
      <c r="D122" s="3" t="s">
        <v>308</v>
      </c>
      <c r="E122" s="2" t="s">
        <v>309</v>
      </c>
      <c r="F122" s="2" t="s">
        <v>337</v>
      </c>
      <c r="G122" s="2" t="s">
        <v>338</v>
      </c>
      <c r="H122" s="2" t="s">
        <v>339</v>
      </c>
    </row>
    <row r="123" spans="1:8" ht="37.5" x14ac:dyDescent="0.35">
      <c r="A123" s="2" t="s">
        <v>116</v>
      </c>
      <c r="B123" s="2" t="s">
        <v>163</v>
      </c>
      <c r="C123" s="2" t="s">
        <v>157</v>
      </c>
      <c r="D123" s="3" t="s">
        <v>308</v>
      </c>
      <c r="E123" s="2" t="s">
        <v>309</v>
      </c>
      <c r="F123" s="2" t="s">
        <v>340</v>
      </c>
      <c r="G123" s="2" t="s">
        <v>341</v>
      </c>
      <c r="H123" s="2" t="s">
        <v>342</v>
      </c>
    </row>
    <row r="124" spans="1:8" ht="37.5" x14ac:dyDescent="0.35">
      <c r="A124" s="2" t="s">
        <v>116</v>
      </c>
      <c r="B124" s="2" t="s">
        <v>343</v>
      </c>
      <c r="C124" s="2" t="s">
        <v>157</v>
      </c>
      <c r="D124" s="3" t="s">
        <v>308</v>
      </c>
      <c r="E124" s="2" t="s">
        <v>309</v>
      </c>
      <c r="F124" s="2" t="s">
        <v>344</v>
      </c>
      <c r="G124" s="2" t="s">
        <v>345</v>
      </c>
      <c r="H124" s="2" t="s">
        <v>346</v>
      </c>
    </row>
    <row r="125" spans="1:8" x14ac:dyDescent="0.35">
      <c r="A125" s="2" t="s">
        <v>116</v>
      </c>
      <c r="B125" s="2" t="s">
        <v>343</v>
      </c>
      <c r="C125" s="2" t="s">
        <v>157</v>
      </c>
      <c r="D125" s="3" t="s">
        <v>308</v>
      </c>
      <c r="E125" s="2" t="s">
        <v>309</v>
      </c>
      <c r="F125" s="2" t="s">
        <v>347</v>
      </c>
      <c r="G125" s="2" t="s">
        <v>348</v>
      </c>
      <c r="H125" s="2" t="s">
        <v>339</v>
      </c>
    </row>
    <row r="126" spans="1:8" ht="37.5" x14ac:dyDescent="0.35">
      <c r="A126" s="2" t="s">
        <v>116</v>
      </c>
      <c r="B126" s="2" t="s">
        <v>349</v>
      </c>
      <c r="C126" s="2" t="s">
        <v>10</v>
      </c>
      <c r="D126" s="3" t="s">
        <v>308</v>
      </c>
      <c r="E126" s="2" t="s">
        <v>309</v>
      </c>
      <c r="F126" s="2" t="s">
        <v>350</v>
      </c>
      <c r="G126" s="2" t="s">
        <v>351</v>
      </c>
      <c r="H126" s="2" t="s">
        <v>352</v>
      </c>
    </row>
    <row r="127" spans="1:8" ht="25" x14ac:dyDescent="0.35">
      <c r="A127" s="2" t="s">
        <v>8</v>
      </c>
      <c r="B127" s="2" t="s">
        <v>353</v>
      </c>
      <c r="C127" s="2" t="s">
        <v>39</v>
      </c>
      <c r="D127" s="3" t="s">
        <v>354</v>
      </c>
      <c r="E127" s="2" t="s">
        <v>355</v>
      </c>
      <c r="F127" s="2" t="s">
        <v>353</v>
      </c>
      <c r="G127" s="2" t="s">
        <v>356</v>
      </c>
      <c r="H127" s="2" t="s">
        <v>357</v>
      </c>
    </row>
    <row r="128" spans="1:8" x14ac:dyDescent="0.35">
      <c r="A128" s="2" t="s">
        <v>8</v>
      </c>
      <c r="B128" s="2" t="s">
        <v>83</v>
      </c>
      <c r="C128" s="2" t="s">
        <v>84</v>
      </c>
      <c r="D128" s="3" t="s">
        <v>354</v>
      </c>
      <c r="E128" s="2" t="s">
        <v>355</v>
      </c>
      <c r="F128" s="2" t="s">
        <v>83</v>
      </c>
      <c r="G128" s="2" t="s">
        <v>358</v>
      </c>
      <c r="H128" s="2" t="s">
        <v>359</v>
      </c>
    </row>
    <row r="129" spans="1:8" x14ac:dyDescent="0.35">
      <c r="A129" s="2" t="s">
        <v>8</v>
      </c>
      <c r="B129" s="2" t="s">
        <v>88</v>
      </c>
      <c r="C129" s="2" t="s">
        <v>17</v>
      </c>
      <c r="D129" s="3" t="s">
        <v>354</v>
      </c>
      <c r="E129" s="2" t="s">
        <v>355</v>
      </c>
      <c r="F129" s="2" t="s">
        <v>88</v>
      </c>
      <c r="G129" s="2" t="s">
        <v>360</v>
      </c>
      <c r="H129" s="2" t="s">
        <v>359</v>
      </c>
    </row>
    <row r="130" spans="1:8" x14ac:dyDescent="0.35">
      <c r="A130" s="2" t="s">
        <v>8</v>
      </c>
      <c r="B130" s="2" t="s">
        <v>16</v>
      </c>
      <c r="C130" s="2" t="s">
        <v>17</v>
      </c>
      <c r="D130" s="3" t="s">
        <v>354</v>
      </c>
      <c r="E130" s="2" t="s">
        <v>355</v>
      </c>
      <c r="F130" s="2" t="s">
        <v>16</v>
      </c>
      <c r="G130" s="2" t="s">
        <v>361</v>
      </c>
      <c r="H130" s="2" t="s">
        <v>359</v>
      </c>
    </row>
    <row r="131" spans="1:8" x14ac:dyDescent="0.35">
      <c r="A131" s="2" t="s">
        <v>8</v>
      </c>
      <c r="B131" s="2" t="s">
        <v>20</v>
      </c>
      <c r="C131" s="2" t="s">
        <v>17</v>
      </c>
      <c r="D131" s="3" t="s">
        <v>354</v>
      </c>
      <c r="E131" s="2" t="s">
        <v>355</v>
      </c>
      <c r="F131" s="2" t="s">
        <v>20</v>
      </c>
      <c r="G131" s="2" t="s">
        <v>362</v>
      </c>
      <c r="H131" s="2" t="s">
        <v>359</v>
      </c>
    </row>
    <row r="132" spans="1:8" ht="25" x14ac:dyDescent="0.35">
      <c r="A132" s="2" t="s">
        <v>8</v>
      </c>
      <c r="B132" s="2" t="s">
        <v>363</v>
      </c>
      <c r="C132" s="2" t="s">
        <v>157</v>
      </c>
      <c r="D132" s="3" t="s">
        <v>354</v>
      </c>
      <c r="E132" s="2" t="s">
        <v>355</v>
      </c>
      <c r="F132" s="2" t="s">
        <v>363</v>
      </c>
      <c r="G132" s="2" t="s">
        <v>364</v>
      </c>
      <c r="H132" s="2" t="s">
        <v>359</v>
      </c>
    </row>
    <row r="133" spans="1:8" ht="25" x14ac:dyDescent="0.35">
      <c r="A133" s="2" t="s">
        <v>8</v>
      </c>
      <c r="B133" s="2" t="s">
        <v>365</v>
      </c>
      <c r="C133" s="2" t="s">
        <v>222</v>
      </c>
      <c r="D133" s="3" t="s">
        <v>354</v>
      </c>
      <c r="E133" s="2" t="s">
        <v>355</v>
      </c>
      <c r="F133" s="2" t="s">
        <v>366</v>
      </c>
      <c r="G133" s="2" t="s">
        <v>367</v>
      </c>
      <c r="H133" s="2" t="s">
        <v>368</v>
      </c>
    </row>
    <row r="134" spans="1:8" x14ac:dyDescent="0.35">
      <c r="A134" s="2" t="s">
        <v>8</v>
      </c>
      <c r="B134" s="2" t="s">
        <v>129</v>
      </c>
      <c r="C134" s="2" t="s">
        <v>217</v>
      </c>
      <c r="D134" s="3" t="s">
        <v>354</v>
      </c>
      <c r="E134" s="2" t="s">
        <v>355</v>
      </c>
      <c r="F134" s="2" t="s">
        <v>129</v>
      </c>
      <c r="G134" s="2" t="s">
        <v>369</v>
      </c>
      <c r="H134" s="2" t="s">
        <v>359</v>
      </c>
    </row>
    <row r="135" spans="1:8" ht="37.5" x14ac:dyDescent="0.35">
      <c r="A135" s="2" t="s">
        <v>8</v>
      </c>
      <c r="B135" s="2" t="s">
        <v>370</v>
      </c>
      <c r="C135" s="2" t="s">
        <v>125</v>
      </c>
      <c r="D135" s="3" t="s">
        <v>354</v>
      </c>
      <c r="E135" s="2" t="s">
        <v>355</v>
      </c>
      <c r="F135" s="2" t="s">
        <v>371</v>
      </c>
      <c r="G135" s="2" t="s">
        <v>372</v>
      </c>
      <c r="H135" s="2" t="s">
        <v>359</v>
      </c>
    </row>
    <row r="136" spans="1:8" x14ac:dyDescent="0.35">
      <c r="A136" s="2" t="s">
        <v>8</v>
      </c>
      <c r="B136" s="2" t="s">
        <v>373</v>
      </c>
      <c r="C136" s="2" t="s">
        <v>217</v>
      </c>
      <c r="D136" s="3" t="s">
        <v>354</v>
      </c>
      <c r="E136" s="2" t="s">
        <v>374</v>
      </c>
      <c r="F136" s="2" t="s">
        <v>373</v>
      </c>
      <c r="G136" s="2" t="s">
        <v>375</v>
      </c>
      <c r="H136" s="2" t="s">
        <v>368</v>
      </c>
    </row>
    <row r="137" spans="1:8" x14ac:dyDescent="0.35">
      <c r="A137" s="2" t="s">
        <v>8</v>
      </c>
      <c r="B137" s="2" t="s">
        <v>9</v>
      </c>
      <c r="C137" s="2" t="s">
        <v>10</v>
      </c>
      <c r="D137" s="3" t="s">
        <v>354</v>
      </c>
      <c r="E137" s="2" t="s">
        <v>374</v>
      </c>
      <c r="F137" s="2" t="s">
        <v>365</v>
      </c>
      <c r="G137" s="2" t="s">
        <v>376</v>
      </c>
      <c r="H137" s="2" t="s">
        <v>368</v>
      </c>
    </row>
    <row r="138" spans="1:8" x14ac:dyDescent="0.35">
      <c r="A138" s="2" t="s">
        <v>8</v>
      </c>
      <c r="B138" s="2" t="s">
        <v>377</v>
      </c>
      <c r="C138" s="2" t="s">
        <v>17</v>
      </c>
      <c r="D138" s="3" t="s">
        <v>354</v>
      </c>
      <c r="E138" s="2" t="s">
        <v>374</v>
      </c>
      <c r="F138" s="2" t="s">
        <v>61</v>
      </c>
      <c r="G138" s="2" t="s">
        <v>378</v>
      </c>
      <c r="H138" s="2" t="s">
        <v>368</v>
      </c>
    </row>
    <row r="139" spans="1:8" x14ac:dyDescent="0.35">
      <c r="A139" s="4" t="s">
        <v>35</v>
      </c>
      <c r="B139" s="4" t="s">
        <v>10</v>
      </c>
      <c r="C139" s="4" t="s">
        <v>10</v>
      </c>
      <c r="D139" s="5" t="s">
        <v>354</v>
      </c>
      <c r="E139" s="4" t="s">
        <v>374</v>
      </c>
      <c r="F139" s="4" t="s">
        <v>379</v>
      </c>
      <c r="G139" s="4" t="s">
        <v>380</v>
      </c>
      <c r="H139" s="4" t="s">
        <v>10</v>
      </c>
    </row>
    <row r="140" spans="1:8" ht="25" x14ac:dyDescent="0.35">
      <c r="A140" s="4" t="s">
        <v>35</v>
      </c>
      <c r="B140" s="4" t="s">
        <v>10</v>
      </c>
      <c r="C140" s="4" t="s">
        <v>10</v>
      </c>
      <c r="D140" s="5" t="s">
        <v>354</v>
      </c>
      <c r="E140" s="4" t="s">
        <v>381</v>
      </c>
      <c r="F140" s="4" t="s">
        <v>382</v>
      </c>
      <c r="G140" s="4" t="s">
        <v>383</v>
      </c>
      <c r="H140" s="4" t="s">
        <v>10</v>
      </c>
    </row>
    <row r="141" spans="1:8" ht="25" x14ac:dyDescent="0.35">
      <c r="A141" s="4" t="s">
        <v>35</v>
      </c>
      <c r="B141" s="4" t="s">
        <v>10</v>
      </c>
      <c r="C141" s="4" t="s">
        <v>10</v>
      </c>
      <c r="D141" s="5" t="s">
        <v>354</v>
      </c>
      <c r="E141" s="4" t="s">
        <v>381</v>
      </c>
      <c r="F141" s="4" t="s">
        <v>218</v>
      </c>
      <c r="G141" s="4" t="s">
        <v>383</v>
      </c>
      <c r="H141" s="4" t="s">
        <v>10</v>
      </c>
    </row>
    <row r="142" spans="1:8" ht="25" x14ac:dyDescent="0.35">
      <c r="A142" s="4" t="s">
        <v>35</v>
      </c>
      <c r="B142" s="4" t="s">
        <v>10</v>
      </c>
      <c r="C142" s="4" t="s">
        <v>10</v>
      </c>
      <c r="D142" s="5" t="s">
        <v>354</v>
      </c>
      <c r="E142" s="4" t="s">
        <v>381</v>
      </c>
      <c r="F142" s="4" t="s">
        <v>353</v>
      </c>
      <c r="G142" s="4" t="s">
        <v>383</v>
      </c>
      <c r="H142" s="4" t="s">
        <v>10</v>
      </c>
    </row>
    <row r="143" spans="1:8" ht="25" x14ac:dyDescent="0.35">
      <c r="A143" s="4" t="s">
        <v>35</v>
      </c>
      <c r="B143" s="4" t="s">
        <v>10</v>
      </c>
      <c r="C143" s="4" t="s">
        <v>10</v>
      </c>
      <c r="D143" s="5" t="s">
        <v>354</v>
      </c>
      <c r="E143" s="4" t="s">
        <v>381</v>
      </c>
      <c r="F143" s="4" t="s">
        <v>384</v>
      </c>
      <c r="G143" s="4" t="s">
        <v>383</v>
      </c>
      <c r="H143" s="4" t="s">
        <v>10</v>
      </c>
    </row>
    <row r="144" spans="1:8" ht="25" x14ac:dyDescent="0.35">
      <c r="A144" s="4" t="s">
        <v>35</v>
      </c>
      <c r="B144" s="4" t="s">
        <v>10</v>
      </c>
      <c r="C144" s="4" t="s">
        <v>10</v>
      </c>
      <c r="D144" s="5" t="s">
        <v>354</v>
      </c>
      <c r="E144" s="4" t="s">
        <v>381</v>
      </c>
      <c r="F144" s="4" t="s">
        <v>385</v>
      </c>
      <c r="G144" s="4" t="s">
        <v>383</v>
      </c>
      <c r="H144" s="4" t="s">
        <v>10</v>
      </c>
    </row>
    <row r="145" spans="1:8" ht="37.5" x14ac:dyDescent="0.35">
      <c r="A145" s="2" t="s">
        <v>94</v>
      </c>
      <c r="B145" s="2" t="s">
        <v>386</v>
      </c>
      <c r="C145" s="2" t="s">
        <v>145</v>
      </c>
      <c r="D145" s="3" t="s">
        <v>387</v>
      </c>
      <c r="E145" s="2" t="s">
        <v>388</v>
      </c>
      <c r="F145" s="2" t="s">
        <v>386</v>
      </c>
      <c r="G145" s="2" t="s">
        <v>389</v>
      </c>
      <c r="H145" s="2" t="s">
        <v>390</v>
      </c>
    </row>
    <row r="146" spans="1:8" x14ac:dyDescent="0.35">
      <c r="A146" s="2" t="s">
        <v>94</v>
      </c>
      <c r="B146" s="2" t="s">
        <v>391</v>
      </c>
      <c r="C146" s="2" t="s">
        <v>222</v>
      </c>
      <c r="D146" s="3" t="s">
        <v>387</v>
      </c>
      <c r="E146" s="2" t="s">
        <v>388</v>
      </c>
      <c r="F146" s="2" t="s">
        <v>391</v>
      </c>
      <c r="G146" s="2" t="s">
        <v>392</v>
      </c>
      <c r="H146" s="2" t="s">
        <v>393</v>
      </c>
    </row>
    <row r="147" spans="1:8" x14ac:dyDescent="0.35">
      <c r="A147" s="2" t="s">
        <v>94</v>
      </c>
      <c r="B147" s="2" t="s">
        <v>394</v>
      </c>
      <c r="C147" s="2" t="s">
        <v>145</v>
      </c>
      <c r="D147" s="3" t="s">
        <v>387</v>
      </c>
      <c r="E147" s="2" t="s">
        <v>388</v>
      </c>
      <c r="F147" s="2" t="s">
        <v>394</v>
      </c>
      <c r="G147" s="2" t="s">
        <v>395</v>
      </c>
      <c r="H147" s="2" t="s">
        <v>393</v>
      </c>
    </row>
    <row r="148" spans="1:8" ht="25" x14ac:dyDescent="0.35">
      <c r="A148" s="2" t="s">
        <v>94</v>
      </c>
      <c r="B148" s="2" t="s">
        <v>396</v>
      </c>
      <c r="C148" s="2" t="s">
        <v>39</v>
      </c>
      <c r="D148" s="3" t="s">
        <v>387</v>
      </c>
      <c r="E148" s="2" t="s">
        <v>388</v>
      </c>
      <c r="F148" s="2" t="s">
        <v>397</v>
      </c>
      <c r="G148" s="2" t="s">
        <v>398</v>
      </c>
      <c r="H148" s="2" t="s">
        <v>393</v>
      </c>
    </row>
    <row r="149" spans="1:8" ht="25" x14ac:dyDescent="0.35">
      <c r="A149" s="2" t="s">
        <v>94</v>
      </c>
      <c r="B149" s="2" t="s">
        <v>399</v>
      </c>
      <c r="C149" s="2" t="s">
        <v>400</v>
      </c>
      <c r="D149" s="3" t="s">
        <v>387</v>
      </c>
      <c r="E149" s="2" t="s">
        <v>388</v>
      </c>
      <c r="F149" s="2" t="s">
        <v>399</v>
      </c>
      <c r="G149" s="2" t="s">
        <v>401</v>
      </c>
      <c r="H149" s="2" t="s">
        <v>402</v>
      </c>
    </row>
    <row r="150" spans="1:8" x14ac:dyDescent="0.35">
      <c r="A150" s="2" t="s">
        <v>94</v>
      </c>
      <c r="B150" s="2" t="s">
        <v>403</v>
      </c>
      <c r="C150" s="2" t="s">
        <v>400</v>
      </c>
      <c r="D150" s="3" t="s">
        <v>387</v>
      </c>
      <c r="E150" s="2" t="s">
        <v>388</v>
      </c>
      <c r="F150" s="2" t="s">
        <v>403</v>
      </c>
      <c r="G150" s="2" t="s">
        <v>404</v>
      </c>
      <c r="H150" s="2" t="s">
        <v>402</v>
      </c>
    </row>
    <row r="151" spans="1:8" ht="25" x14ac:dyDescent="0.35">
      <c r="A151" s="2" t="s">
        <v>94</v>
      </c>
      <c r="B151" s="2" t="s">
        <v>405</v>
      </c>
      <c r="C151" s="2" t="s">
        <v>406</v>
      </c>
      <c r="D151" s="3" t="s">
        <v>387</v>
      </c>
      <c r="E151" s="2" t="s">
        <v>388</v>
      </c>
      <c r="F151" s="2" t="s">
        <v>405</v>
      </c>
      <c r="G151" s="2" t="s">
        <v>407</v>
      </c>
      <c r="H151" s="2" t="s">
        <v>408</v>
      </c>
    </row>
    <row r="152" spans="1:8" ht="25" x14ac:dyDescent="0.35">
      <c r="A152" s="2" t="s">
        <v>409</v>
      </c>
      <c r="B152" s="2" t="s">
        <v>410</v>
      </c>
      <c r="C152" s="2" t="s">
        <v>222</v>
      </c>
      <c r="D152" s="3" t="s">
        <v>387</v>
      </c>
      <c r="E152" s="2" t="s">
        <v>388</v>
      </c>
      <c r="F152" s="2" t="s">
        <v>410</v>
      </c>
      <c r="G152" s="2" t="s">
        <v>411</v>
      </c>
      <c r="H152" s="2" t="s">
        <v>412</v>
      </c>
    </row>
    <row r="153" spans="1:8" ht="25" x14ac:dyDescent="0.35">
      <c r="A153" s="2" t="s">
        <v>23</v>
      </c>
      <c r="B153" s="2" t="s">
        <v>9</v>
      </c>
      <c r="C153" s="2" t="s">
        <v>10</v>
      </c>
      <c r="D153" s="3" t="s">
        <v>413</v>
      </c>
      <c r="E153" s="2" t="s">
        <v>414</v>
      </c>
      <c r="F153" s="2" t="s">
        <v>415</v>
      </c>
      <c r="G153" s="2" t="s">
        <v>416</v>
      </c>
      <c r="H153" s="2" t="s">
        <v>417</v>
      </c>
    </row>
    <row r="154" spans="1:8" x14ac:dyDescent="0.35">
      <c r="A154" s="2" t="s">
        <v>23</v>
      </c>
      <c r="B154" s="2" t="s">
        <v>61</v>
      </c>
      <c r="C154" s="2" t="s">
        <v>17</v>
      </c>
      <c r="D154" s="3" t="s">
        <v>413</v>
      </c>
      <c r="E154" s="2" t="s">
        <v>414</v>
      </c>
      <c r="F154" s="2" t="s">
        <v>418</v>
      </c>
      <c r="G154" s="2" t="s">
        <v>419</v>
      </c>
      <c r="H154" s="2" t="s">
        <v>417</v>
      </c>
    </row>
  </sheetData>
  <autoFilter ref="A1:H154" xr:uid="{00000000-0009-0000-0000-000000000000}"/>
  <dataValidations count="2">
    <dataValidation type="list" allowBlank="1" sqref="A2:A400" xr:uid="{00000000-0002-0000-0000-000000000000}">
      <formula1>"fact_penjualan,dim_tanggal,dim_produk,dim_pelanggan,dim_toko_kanal,dim_kampanye,map_produk,err_kampanye,(tidak dipakai)"</formula1>
    </dataValidation>
    <dataValidation type="list" allowBlank="1" sqref="D2:D400" xr:uid="{00000000-0002-0000-0000-000001000000}">
      <formula1>"S1,S2,S3,S4,S5,Ref"</formula1>
    </dataValidation>
  </dataValidation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2" customWidth="1"/>
    <col min="3" max="3" width="15" customWidth="1"/>
    <col min="4" max="4" width="8" customWidth="1"/>
    <col min="5" max="5" width="26" customWidth="1"/>
    <col min="6" max="6" width="34" customWidth="1"/>
    <col min="7" max="7" width="80" customWidth="1"/>
    <col min="8" max="8" width="36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116</v>
      </c>
      <c r="B2" s="2" t="s">
        <v>420</v>
      </c>
      <c r="C2" s="2" t="s">
        <v>421</v>
      </c>
      <c r="D2" s="3" t="s">
        <v>422</v>
      </c>
      <c r="E2" s="2" t="s">
        <v>10</v>
      </c>
      <c r="F2" s="2" t="s">
        <v>10</v>
      </c>
      <c r="G2" s="2" t="s">
        <v>423</v>
      </c>
      <c r="H2" s="2" t="s">
        <v>10</v>
      </c>
    </row>
    <row r="3" spans="1:8" ht="25" x14ac:dyDescent="0.35">
      <c r="A3" s="2" t="s">
        <v>116</v>
      </c>
      <c r="B3" s="2" t="s">
        <v>424</v>
      </c>
      <c r="C3" s="2" t="s">
        <v>425</v>
      </c>
      <c r="D3" s="3" t="s">
        <v>426</v>
      </c>
      <c r="E3" s="2" t="s">
        <v>10</v>
      </c>
      <c r="F3" s="2" t="s">
        <v>10</v>
      </c>
      <c r="G3" s="2" t="s">
        <v>427</v>
      </c>
      <c r="H3" s="2" t="s">
        <v>428</v>
      </c>
    </row>
    <row r="4" spans="1:8" x14ac:dyDescent="0.35">
      <c r="A4" s="2" t="s">
        <v>116</v>
      </c>
      <c r="B4" s="2" t="s">
        <v>148</v>
      </c>
      <c r="C4" s="2" t="s">
        <v>149</v>
      </c>
      <c r="D4" s="3" t="s">
        <v>429</v>
      </c>
      <c r="E4" s="2" t="s">
        <v>309</v>
      </c>
      <c r="F4" s="2" t="s">
        <v>430</v>
      </c>
      <c r="G4" s="2" t="s">
        <v>431</v>
      </c>
      <c r="H4" s="2" t="s">
        <v>432</v>
      </c>
    </row>
    <row r="5" spans="1:8" ht="25" x14ac:dyDescent="0.35">
      <c r="A5" s="2" t="s">
        <v>116</v>
      </c>
      <c r="B5" s="2" t="s">
        <v>281</v>
      </c>
      <c r="C5" s="2" t="s">
        <v>25</v>
      </c>
      <c r="D5" s="3" t="s">
        <v>429</v>
      </c>
      <c r="E5" s="2" t="s">
        <v>433</v>
      </c>
      <c r="F5" s="2" t="s">
        <v>434</v>
      </c>
      <c r="G5" s="2" t="s">
        <v>435</v>
      </c>
      <c r="H5" s="2" t="s">
        <v>436</v>
      </c>
    </row>
    <row r="6" spans="1:8" ht="25" x14ac:dyDescent="0.35">
      <c r="A6" s="2" t="s">
        <v>116</v>
      </c>
      <c r="B6" s="2" t="s">
        <v>274</v>
      </c>
      <c r="C6" s="2" t="s">
        <v>25</v>
      </c>
      <c r="D6" s="3" t="s">
        <v>426</v>
      </c>
      <c r="E6" s="2" t="s">
        <v>10</v>
      </c>
      <c r="F6" s="2" t="s">
        <v>10</v>
      </c>
      <c r="G6" s="2" t="s">
        <v>437</v>
      </c>
      <c r="H6" s="2" t="s">
        <v>438</v>
      </c>
    </row>
    <row r="7" spans="1:8" x14ac:dyDescent="0.35">
      <c r="A7" s="2" t="s">
        <v>116</v>
      </c>
      <c r="B7" s="2" t="s">
        <v>124</v>
      </c>
      <c r="C7" s="2" t="s">
        <v>125</v>
      </c>
      <c r="D7" s="3" t="s">
        <v>429</v>
      </c>
      <c r="E7" s="2" t="s">
        <v>270</v>
      </c>
      <c r="F7" s="2" t="s">
        <v>282</v>
      </c>
      <c r="G7" s="2" t="s">
        <v>439</v>
      </c>
      <c r="H7" s="2" t="s">
        <v>299</v>
      </c>
    </row>
    <row r="8" spans="1:8" x14ac:dyDescent="0.35">
      <c r="A8" s="2" t="s">
        <v>116</v>
      </c>
      <c r="B8" s="2" t="s">
        <v>121</v>
      </c>
      <c r="C8" s="2" t="s">
        <v>25</v>
      </c>
      <c r="D8" s="3" t="s">
        <v>429</v>
      </c>
      <c r="E8" s="2" t="s">
        <v>309</v>
      </c>
      <c r="F8" s="2" t="s">
        <v>325</v>
      </c>
      <c r="G8" s="2" t="s">
        <v>440</v>
      </c>
      <c r="H8" s="2" t="s">
        <v>441</v>
      </c>
    </row>
    <row r="9" spans="1:8" ht="37.5" x14ac:dyDescent="0.35">
      <c r="A9" s="2" t="s">
        <v>116</v>
      </c>
      <c r="B9" s="2" t="s">
        <v>132</v>
      </c>
      <c r="C9" s="2" t="s">
        <v>25</v>
      </c>
      <c r="D9" s="3" t="s">
        <v>429</v>
      </c>
      <c r="E9" s="2" t="s">
        <v>442</v>
      </c>
      <c r="F9" s="2" t="s">
        <v>443</v>
      </c>
      <c r="G9" s="2" t="s">
        <v>444</v>
      </c>
      <c r="H9" s="2" t="s">
        <v>445</v>
      </c>
    </row>
    <row r="10" spans="1:8" ht="37.5" x14ac:dyDescent="0.35">
      <c r="A10" s="2" t="s">
        <v>116</v>
      </c>
      <c r="B10" s="2" t="s">
        <v>132</v>
      </c>
      <c r="C10" s="2" t="s">
        <v>25</v>
      </c>
      <c r="D10" s="3" t="s">
        <v>429</v>
      </c>
      <c r="E10" s="2" t="s">
        <v>309</v>
      </c>
      <c r="F10" s="2" t="s">
        <v>446</v>
      </c>
      <c r="G10" s="2" t="s">
        <v>447</v>
      </c>
      <c r="H10" s="2" t="s">
        <v>342</v>
      </c>
    </row>
    <row r="11" spans="1:8" x14ac:dyDescent="0.35">
      <c r="A11" s="2" t="s">
        <v>116</v>
      </c>
      <c r="B11" s="2" t="s">
        <v>448</v>
      </c>
      <c r="C11" s="2" t="s">
        <v>157</v>
      </c>
      <c r="D11" s="3" t="s">
        <v>429</v>
      </c>
      <c r="E11" s="2" t="s">
        <v>10</v>
      </c>
      <c r="F11" s="2" t="s">
        <v>449</v>
      </c>
      <c r="G11" s="2" t="s">
        <v>450</v>
      </c>
      <c r="H11" s="2" t="s">
        <v>451</v>
      </c>
    </row>
    <row r="12" spans="1:8" x14ac:dyDescent="0.35">
      <c r="A12" s="2" t="s">
        <v>116</v>
      </c>
      <c r="B12" s="2" t="s">
        <v>452</v>
      </c>
      <c r="C12" s="2" t="s">
        <v>157</v>
      </c>
      <c r="D12" s="3" t="s">
        <v>429</v>
      </c>
      <c r="E12" s="2" t="s">
        <v>10</v>
      </c>
      <c r="F12" s="2" t="s">
        <v>453</v>
      </c>
      <c r="G12" s="2" t="s">
        <v>454</v>
      </c>
      <c r="H12" s="2" t="s">
        <v>451</v>
      </c>
    </row>
    <row r="13" spans="1:8" ht="25" x14ac:dyDescent="0.35">
      <c r="A13" s="2" t="s">
        <v>116</v>
      </c>
      <c r="B13" s="2" t="s">
        <v>455</v>
      </c>
      <c r="C13" s="2" t="s">
        <v>157</v>
      </c>
      <c r="D13" s="3" t="s">
        <v>429</v>
      </c>
      <c r="E13" s="2" t="s">
        <v>8</v>
      </c>
      <c r="F13" s="2" t="s">
        <v>363</v>
      </c>
      <c r="G13" s="2" t="s">
        <v>456</v>
      </c>
      <c r="H13" s="2" t="s">
        <v>457</v>
      </c>
    </row>
    <row r="14" spans="1:8" x14ac:dyDescent="0.35">
      <c r="A14" s="2" t="s">
        <v>116</v>
      </c>
      <c r="B14" s="2" t="s">
        <v>458</v>
      </c>
      <c r="C14" s="2" t="s">
        <v>157</v>
      </c>
      <c r="D14" s="3" t="s">
        <v>429</v>
      </c>
      <c r="E14" s="2" t="s">
        <v>10</v>
      </c>
      <c r="F14" s="2" t="s">
        <v>459</v>
      </c>
      <c r="G14" s="2" t="s">
        <v>460</v>
      </c>
      <c r="H14" s="2" t="s">
        <v>451</v>
      </c>
    </row>
    <row r="15" spans="1:8" ht="25" x14ac:dyDescent="0.35">
      <c r="A15" s="2" t="s">
        <v>116</v>
      </c>
      <c r="B15" s="2" t="s">
        <v>343</v>
      </c>
      <c r="C15" s="2" t="s">
        <v>157</v>
      </c>
      <c r="D15" s="3" t="s">
        <v>426</v>
      </c>
      <c r="E15" s="2" t="s">
        <v>10</v>
      </c>
      <c r="F15" s="2" t="s">
        <v>10</v>
      </c>
      <c r="G15" s="2" t="s">
        <v>461</v>
      </c>
      <c r="H15" s="2" t="s">
        <v>462</v>
      </c>
    </row>
    <row r="16" spans="1:8" ht="25" x14ac:dyDescent="0.35">
      <c r="A16" s="2" t="s">
        <v>116</v>
      </c>
      <c r="B16" s="2" t="s">
        <v>463</v>
      </c>
      <c r="C16" s="2" t="s">
        <v>157</v>
      </c>
      <c r="D16" s="3" t="s">
        <v>429</v>
      </c>
      <c r="E16" s="2" t="s">
        <v>10</v>
      </c>
      <c r="F16" s="2" t="s">
        <v>464</v>
      </c>
      <c r="G16" s="2" t="s">
        <v>465</v>
      </c>
      <c r="H16" s="2" t="s">
        <v>451</v>
      </c>
    </row>
    <row r="17" spans="1:8" ht="25" x14ac:dyDescent="0.35">
      <c r="A17" s="2" t="s">
        <v>116</v>
      </c>
      <c r="B17" s="2" t="s">
        <v>200</v>
      </c>
      <c r="C17" s="2" t="s">
        <v>157</v>
      </c>
      <c r="D17" s="3" t="s">
        <v>426</v>
      </c>
      <c r="E17" s="2" t="s">
        <v>10</v>
      </c>
      <c r="F17" s="2" t="s">
        <v>10</v>
      </c>
      <c r="G17" s="2" t="s">
        <v>466</v>
      </c>
      <c r="H17" s="2" t="s">
        <v>467</v>
      </c>
    </row>
    <row r="18" spans="1:8" ht="25" x14ac:dyDescent="0.35">
      <c r="A18" s="2" t="s">
        <v>116</v>
      </c>
      <c r="B18" s="2" t="s">
        <v>205</v>
      </c>
      <c r="C18" s="2" t="s">
        <v>157</v>
      </c>
      <c r="D18" s="3" t="s">
        <v>426</v>
      </c>
      <c r="E18" s="2" t="s">
        <v>10</v>
      </c>
      <c r="F18" s="2" t="s">
        <v>10</v>
      </c>
      <c r="G18" s="2" t="s">
        <v>468</v>
      </c>
      <c r="H18" s="2" t="s">
        <v>467</v>
      </c>
    </row>
    <row r="19" spans="1:8" ht="25" x14ac:dyDescent="0.35">
      <c r="A19" s="2" t="s">
        <v>469</v>
      </c>
      <c r="B19" s="2" t="s">
        <v>281</v>
      </c>
      <c r="C19" s="2" t="s">
        <v>25</v>
      </c>
      <c r="D19" s="3" t="s">
        <v>470</v>
      </c>
      <c r="E19" s="2" t="s">
        <v>10</v>
      </c>
      <c r="F19" s="2" t="s">
        <v>10</v>
      </c>
      <c r="G19" s="2" t="s">
        <v>471</v>
      </c>
      <c r="H19" s="2" t="s">
        <v>472</v>
      </c>
    </row>
    <row r="20" spans="1:8" x14ac:dyDescent="0.35">
      <c r="A20" s="2" t="s">
        <v>469</v>
      </c>
      <c r="B20" s="2" t="s">
        <v>382</v>
      </c>
      <c r="C20" s="2" t="s">
        <v>400</v>
      </c>
      <c r="D20" s="3" t="s">
        <v>470</v>
      </c>
      <c r="E20" s="2" t="s">
        <v>10</v>
      </c>
      <c r="F20" s="2" t="s">
        <v>10</v>
      </c>
      <c r="G20" s="2" t="s">
        <v>473</v>
      </c>
      <c r="H20" s="2" t="s">
        <v>474</v>
      </c>
    </row>
    <row r="21" spans="1:8" x14ac:dyDescent="0.35">
      <c r="A21" s="2" t="s">
        <v>469</v>
      </c>
      <c r="B21" s="2" t="s">
        <v>475</v>
      </c>
      <c r="C21" s="2" t="s">
        <v>217</v>
      </c>
      <c r="D21" s="3" t="s">
        <v>470</v>
      </c>
      <c r="E21" s="2" t="s">
        <v>10</v>
      </c>
      <c r="F21" s="2" t="s">
        <v>10</v>
      </c>
      <c r="G21" s="2" t="s">
        <v>476</v>
      </c>
      <c r="H21" s="2" t="s">
        <v>477</v>
      </c>
    </row>
    <row r="22" spans="1:8" x14ac:dyDescent="0.35">
      <c r="A22" s="2" t="s">
        <v>469</v>
      </c>
      <c r="B22" s="2" t="s">
        <v>478</v>
      </c>
      <c r="C22" s="2" t="s">
        <v>479</v>
      </c>
      <c r="D22" s="3" t="s">
        <v>470</v>
      </c>
      <c r="E22" s="2" t="s">
        <v>10</v>
      </c>
      <c r="F22" s="2" t="s">
        <v>10</v>
      </c>
      <c r="G22" s="2" t="s">
        <v>480</v>
      </c>
      <c r="H22" s="2" t="s">
        <v>474</v>
      </c>
    </row>
    <row r="23" spans="1:8" x14ac:dyDescent="0.35">
      <c r="A23" s="2" t="s">
        <v>469</v>
      </c>
      <c r="B23" s="2" t="s">
        <v>481</v>
      </c>
      <c r="C23" s="2" t="s">
        <v>217</v>
      </c>
      <c r="D23" s="3" t="s">
        <v>470</v>
      </c>
      <c r="E23" s="2" t="s">
        <v>10</v>
      </c>
      <c r="F23" s="2" t="s">
        <v>10</v>
      </c>
      <c r="G23" s="2" t="s">
        <v>482</v>
      </c>
      <c r="H23" s="2" t="s">
        <v>483</v>
      </c>
    </row>
    <row r="24" spans="1:8" x14ac:dyDescent="0.35">
      <c r="A24" s="2" t="s">
        <v>469</v>
      </c>
      <c r="B24" s="2" t="s">
        <v>484</v>
      </c>
      <c r="C24" s="2" t="s">
        <v>479</v>
      </c>
      <c r="D24" s="3" t="s">
        <v>470</v>
      </c>
      <c r="E24" s="2" t="s">
        <v>10</v>
      </c>
      <c r="F24" s="2" t="s">
        <v>10</v>
      </c>
      <c r="G24" s="2" t="s">
        <v>485</v>
      </c>
      <c r="H24" s="2" t="s">
        <v>474</v>
      </c>
    </row>
    <row r="25" spans="1:8" x14ac:dyDescent="0.35">
      <c r="A25" s="2" t="s">
        <v>469</v>
      </c>
      <c r="B25" s="2" t="s">
        <v>486</v>
      </c>
      <c r="C25" s="2" t="s">
        <v>149</v>
      </c>
      <c r="D25" s="3" t="s">
        <v>470</v>
      </c>
      <c r="E25" s="2" t="s">
        <v>10</v>
      </c>
      <c r="F25" s="2" t="s">
        <v>10</v>
      </c>
      <c r="G25" s="2" t="s">
        <v>487</v>
      </c>
      <c r="H25" s="2" t="s">
        <v>474</v>
      </c>
    </row>
    <row r="26" spans="1:8" x14ac:dyDescent="0.35">
      <c r="A26" s="2" t="s">
        <v>469</v>
      </c>
      <c r="B26" s="2" t="s">
        <v>488</v>
      </c>
      <c r="C26" s="2" t="s">
        <v>489</v>
      </c>
      <c r="D26" s="3" t="s">
        <v>470</v>
      </c>
      <c r="E26" s="2" t="s">
        <v>10</v>
      </c>
      <c r="F26" s="2" t="s">
        <v>10</v>
      </c>
      <c r="G26" s="2" t="s">
        <v>490</v>
      </c>
      <c r="H26" s="2" t="s">
        <v>474</v>
      </c>
    </row>
    <row r="27" spans="1:8" ht="25" x14ac:dyDescent="0.35">
      <c r="A27" s="2" t="s">
        <v>8</v>
      </c>
      <c r="B27" s="2" t="s">
        <v>153</v>
      </c>
      <c r="C27" s="2" t="s">
        <v>25</v>
      </c>
      <c r="D27" s="3" t="s">
        <v>470</v>
      </c>
      <c r="E27" s="2" t="s">
        <v>10</v>
      </c>
      <c r="F27" s="2" t="s">
        <v>10</v>
      </c>
      <c r="G27" s="2" t="s">
        <v>491</v>
      </c>
      <c r="H27" s="2" t="s">
        <v>359</v>
      </c>
    </row>
    <row r="28" spans="1:8" ht="25" x14ac:dyDescent="0.35">
      <c r="A28" s="2" t="s">
        <v>8</v>
      </c>
      <c r="B28" s="2" t="s">
        <v>492</v>
      </c>
      <c r="C28" s="2" t="s">
        <v>125</v>
      </c>
      <c r="D28" s="3" t="s">
        <v>470</v>
      </c>
      <c r="E28" s="2" t="s">
        <v>10</v>
      </c>
      <c r="F28" s="2" t="s">
        <v>10</v>
      </c>
      <c r="G28" s="2" t="s">
        <v>493</v>
      </c>
      <c r="H28" s="2" t="s">
        <v>359</v>
      </c>
    </row>
    <row r="29" spans="1:8" x14ac:dyDescent="0.35">
      <c r="A29" s="2" t="s">
        <v>8</v>
      </c>
      <c r="B29" s="2" t="s">
        <v>494</v>
      </c>
      <c r="C29" s="2" t="s">
        <v>25</v>
      </c>
      <c r="D29" s="3" t="s">
        <v>470</v>
      </c>
      <c r="E29" s="2" t="s">
        <v>10</v>
      </c>
      <c r="F29" s="2" t="s">
        <v>10</v>
      </c>
      <c r="G29" s="2" t="s">
        <v>495</v>
      </c>
      <c r="H29" s="2" t="s">
        <v>359</v>
      </c>
    </row>
    <row r="30" spans="1:8" x14ac:dyDescent="0.35">
      <c r="A30" s="2" t="s">
        <v>8</v>
      </c>
      <c r="B30" s="2" t="s">
        <v>496</v>
      </c>
      <c r="C30" s="2" t="s">
        <v>44</v>
      </c>
      <c r="D30" s="3" t="s">
        <v>429</v>
      </c>
      <c r="E30" s="2" t="s">
        <v>10</v>
      </c>
      <c r="F30" s="2" t="s">
        <v>10</v>
      </c>
      <c r="G30" s="2" t="s">
        <v>497</v>
      </c>
      <c r="H30" s="2" t="s">
        <v>498</v>
      </c>
    </row>
    <row r="31" spans="1:8" x14ac:dyDescent="0.35">
      <c r="A31" s="2" t="s">
        <v>23</v>
      </c>
      <c r="B31" s="2" t="s">
        <v>121</v>
      </c>
      <c r="C31" s="2" t="s">
        <v>25</v>
      </c>
      <c r="D31" s="3" t="s">
        <v>422</v>
      </c>
      <c r="E31" s="2" t="s">
        <v>10</v>
      </c>
      <c r="F31" s="2" t="s">
        <v>10</v>
      </c>
      <c r="G31" s="2" t="s">
        <v>499</v>
      </c>
      <c r="H31" s="2" t="s">
        <v>10</v>
      </c>
    </row>
    <row r="32" spans="1:8" x14ac:dyDescent="0.35">
      <c r="A32" s="2" t="s">
        <v>23</v>
      </c>
      <c r="B32" s="2" t="s">
        <v>500</v>
      </c>
      <c r="C32" s="2" t="s">
        <v>44</v>
      </c>
      <c r="D32" s="3" t="s">
        <v>429</v>
      </c>
      <c r="E32" s="2" t="s">
        <v>26</v>
      </c>
      <c r="F32" s="2" t="s">
        <v>27</v>
      </c>
      <c r="G32" s="2" t="s">
        <v>501</v>
      </c>
      <c r="H32" s="2" t="s">
        <v>502</v>
      </c>
    </row>
    <row r="33" spans="1:8" x14ac:dyDescent="0.35">
      <c r="A33" s="2" t="s">
        <v>23</v>
      </c>
      <c r="B33" s="2" t="s">
        <v>503</v>
      </c>
      <c r="C33" s="2" t="s">
        <v>44</v>
      </c>
      <c r="D33" s="3" t="s">
        <v>429</v>
      </c>
      <c r="E33" s="2" t="s">
        <v>245</v>
      </c>
      <c r="F33" s="2" t="s">
        <v>244</v>
      </c>
      <c r="G33" s="2" t="s">
        <v>504</v>
      </c>
      <c r="H33" s="2" t="s">
        <v>502</v>
      </c>
    </row>
    <row r="34" spans="1:8" ht="25" x14ac:dyDescent="0.35">
      <c r="A34" s="2" t="s">
        <v>23</v>
      </c>
      <c r="B34" s="2" t="s">
        <v>505</v>
      </c>
      <c r="C34" s="2" t="s">
        <v>145</v>
      </c>
      <c r="D34" s="3" t="s">
        <v>429</v>
      </c>
      <c r="E34" s="2" t="s">
        <v>10</v>
      </c>
      <c r="F34" s="2" t="s">
        <v>506</v>
      </c>
      <c r="G34" s="2" t="s">
        <v>507</v>
      </c>
      <c r="H34" s="2" t="s">
        <v>508</v>
      </c>
    </row>
    <row r="35" spans="1:8" x14ac:dyDescent="0.35">
      <c r="A35" s="2" t="s">
        <v>215</v>
      </c>
      <c r="B35" s="2" t="s">
        <v>274</v>
      </c>
      <c r="C35" s="2" t="s">
        <v>25</v>
      </c>
      <c r="D35" s="3" t="s">
        <v>422</v>
      </c>
      <c r="E35" s="2" t="s">
        <v>10</v>
      </c>
      <c r="F35" s="2" t="s">
        <v>10</v>
      </c>
      <c r="G35" s="2" t="s">
        <v>509</v>
      </c>
      <c r="H35" s="2" t="s">
        <v>10</v>
      </c>
    </row>
    <row r="36" spans="1:8" ht="25" x14ac:dyDescent="0.35">
      <c r="A36" s="2" t="s">
        <v>215</v>
      </c>
      <c r="B36" s="2" t="s">
        <v>397</v>
      </c>
      <c r="C36" s="2" t="s">
        <v>39</v>
      </c>
      <c r="D36" s="3" t="s">
        <v>426</v>
      </c>
      <c r="E36" s="2" t="s">
        <v>10</v>
      </c>
      <c r="F36" s="2" t="s">
        <v>10</v>
      </c>
      <c r="G36" s="2" t="s">
        <v>510</v>
      </c>
      <c r="H36" s="2" t="s">
        <v>511</v>
      </c>
    </row>
    <row r="37" spans="1:8" ht="25" x14ac:dyDescent="0.35">
      <c r="A37" s="2" t="s">
        <v>215</v>
      </c>
      <c r="B37" s="2" t="s">
        <v>512</v>
      </c>
      <c r="C37" s="2" t="s">
        <v>39</v>
      </c>
      <c r="D37" s="3" t="s">
        <v>426</v>
      </c>
      <c r="E37" s="2" t="s">
        <v>10</v>
      </c>
      <c r="F37" s="2" t="s">
        <v>10</v>
      </c>
      <c r="G37" s="2" t="s">
        <v>513</v>
      </c>
      <c r="H37" s="2" t="s">
        <v>511</v>
      </c>
    </row>
    <row r="38" spans="1:8" ht="25" x14ac:dyDescent="0.35">
      <c r="A38" s="2" t="s">
        <v>215</v>
      </c>
      <c r="B38" s="2" t="s">
        <v>216</v>
      </c>
      <c r="C38" s="2" t="s">
        <v>217</v>
      </c>
      <c r="D38" s="3" t="s">
        <v>426</v>
      </c>
      <c r="E38" s="2" t="s">
        <v>10</v>
      </c>
      <c r="F38" s="2" t="s">
        <v>10</v>
      </c>
      <c r="G38" s="2" t="s">
        <v>514</v>
      </c>
      <c r="H38" s="2" t="s">
        <v>515</v>
      </c>
    </row>
    <row r="39" spans="1:8" ht="25" x14ac:dyDescent="0.35">
      <c r="A39" s="2" t="s">
        <v>215</v>
      </c>
      <c r="B39" s="2" t="s">
        <v>221</v>
      </c>
      <c r="C39" s="2" t="s">
        <v>222</v>
      </c>
      <c r="D39" s="3" t="s">
        <v>426</v>
      </c>
      <c r="E39" s="2" t="s">
        <v>10</v>
      </c>
      <c r="F39" s="2" t="s">
        <v>10</v>
      </c>
      <c r="G39" s="2" t="s">
        <v>516</v>
      </c>
      <c r="H39" s="2" t="s">
        <v>517</v>
      </c>
    </row>
    <row r="40" spans="1:8" ht="25" x14ac:dyDescent="0.35">
      <c r="A40" s="2" t="s">
        <v>94</v>
      </c>
      <c r="B40" s="2" t="s">
        <v>132</v>
      </c>
      <c r="C40" s="2" t="s">
        <v>25</v>
      </c>
      <c r="D40" s="3" t="s">
        <v>422</v>
      </c>
      <c r="E40" s="2" t="s">
        <v>10</v>
      </c>
      <c r="F40" s="2" t="s">
        <v>10</v>
      </c>
      <c r="G40" s="2" t="s">
        <v>518</v>
      </c>
      <c r="H40" s="2" t="s">
        <v>10</v>
      </c>
    </row>
    <row r="41" spans="1:8" ht="25" x14ac:dyDescent="0.35">
      <c r="A41" s="2" t="s">
        <v>76</v>
      </c>
      <c r="B41" s="2" t="s">
        <v>424</v>
      </c>
      <c r="C41" s="2" t="s">
        <v>425</v>
      </c>
      <c r="D41" s="3" t="s">
        <v>426</v>
      </c>
      <c r="E41" s="2" t="s">
        <v>10</v>
      </c>
      <c r="F41" s="2" t="s">
        <v>10</v>
      </c>
      <c r="G41" s="2" t="s">
        <v>519</v>
      </c>
      <c r="H41" s="2" t="s">
        <v>520</v>
      </c>
    </row>
    <row r="42" spans="1:8" x14ac:dyDescent="0.35">
      <c r="A42" s="2" t="s">
        <v>76</v>
      </c>
      <c r="B42" s="2" t="s">
        <v>77</v>
      </c>
      <c r="C42" s="2" t="s">
        <v>78</v>
      </c>
      <c r="D42" s="3" t="s">
        <v>429</v>
      </c>
      <c r="E42" s="2" t="s">
        <v>309</v>
      </c>
      <c r="F42" s="2" t="s">
        <v>331</v>
      </c>
      <c r="G42" s="2" t="s">
        <v>521</v>
      </c>
      <c r="H42" s="2" t="s">
        <v>522</v>
      </c>
    </row>
    <row r="43" spans="1:8" ht="37.5" x14ac:dyDescent="0.35">
      <c r="A43" s="2" t="s">
        <v>76</v>
      </c>
      <c r="B43" s="2" t="s">
        <v>353</v>
      </c>
      <c r="C43" s="2" t="s">
        <v>39</v>
      </c>
      <c r="D43" s="3" t="s">
        <v>429</v>
      </c>
      <c r="E43" s="2" t="s">
        <v>523</v>
      </c>
      <c r="F43" s="2" t="s">
        <v>524</v>
      </c>
      <c r="G43" s="2" t="s">
        <v>525</v>
      </c>
      <c r="H43" s="2" t="s">
        <v>526</v>
      </c>
    </row>
    <row r="44" spans="1:8" x14ac:dyDescent="0.35">
      <c r="A44" s="2" t="s">
        <v>409</v>
      </c>
      <c r="B44" s="2" t="s">
        <v>527</v>
      </c>
      <c r="C44" s="2" t="s">
        <v>25</v>
      </c>
      <c r="D44" s="3" t="s">
        <v>422</v>
      </c>
      <c r="E44" s="2" t="s">
        <v>10</v>
      </c>
      <c r="F44" s="2" t="s">
        <v>10</v>
      </c>
      <c r="G44" s="2" t="s">
        <v>528</v>
      </c>
      <c r="H44" s="2" t="s">
        <v>10</v>
      </c>
    </row>
    <row r="45" spans="1:8" ht="25" x14ac:dyDescent="0.35">
      <c r="A45" s="2" t="s">
        <v>409</v>
      </c>
      <c r="B45" s="2" t="s">
        <v>386</v>
      </c>
      <c r="C45" s="2" t="s">
        <v>222</v>
      </c>
      <c r="D45" s="3" t="s">
        <v>387</v>
      </c>
      <c r="E45" s="2" t="s">
        <v>388</v>
      </c>
      <c r="F45" s="2" t="s">
        <v>386</v>
      </c>
      <c r="G45" s="2" t="s">
        <v>529</v>
      </c>
      <c r="H45" s="2" t="s">
        <v>412</v>
      </c>
    </row>
    <row r="46" spans="1:8" ht="25" x14ac:dyDescent="0.35">
      <c r="A46" s="2" t="s">
        <v>409</v>
      </c>
      <c r="B46" s="2" t="s">
        <v>391</v>
      </c>
      <c r="C46" s="2" t="s">
        <v>530</v>
      </c>
      <c r="D46" s="3" t="s">
        <v>387</v>
      </c>
      <c r="E46" s="2" t="s">
        <v>388</v>
      </c>
      <c r="F46" s="2" t="s">
        <v>391</v>
      </c>
      <c r="G46" s="2" t="s">
        <v>529</v>
      </c>
      <c r="H46" s="2" t="s">
        <v>412</v>
      </c>
    </row>
    <row r="47" spans="1:8" ht="25" x14ac:dyDescent="0.35">
      <c r="A47" s="2" t="s">
        <v>409</v>
      </c>
      <c r="B47" s="2" t="s">
        <v>394</v>
      </c>
      <c r="C47" s="2" t="s">
        <v>222</v>
      </c>
      <c r="D47" s="3" t="s">
        <v>387</v>
      </c>
      <c r="E47" s="2" t="s">
        <v>388</v>
      </c>
      <c r="F47" s="2" t="s">
        <v>394</v>
      </c>
      <c r="G47" s="2" t="s">
        <v>529</v>
      </c>
      <c r="H47" s="2" t="s">
        <v>412</v>
      </c>
    </row>
    <row r="48" spans="1:8" ht="25" x14ac:dyDescent="0.35">
      <c r="A48" s="2" t="s">
        <v>409</v>
      </c>
      <c r="B48" s="2" t="s">
        <v>397</v>
      </c>
      <c r="C48" s="2" t="s">
        <v>222</v>
      </c>
      <c r="D48" s="3" t="s">
        <v>387</v>
      </c>
      <c r="E48" s="2" t="s">
        <v>388</v>
      </c>
      <c r="F48" s="2" t="s">
        <v>397</v>
      </c>
      <c r="G48" s="2" t="s">
        <v>529</v>
      </c>
      <c r="H48" s="2" t="s">
        <v>412</v>
      </c>
    </row>
    <row r="49" spans="1:8" ht="25" x14ac:dyDescent="0.35">
      <c r="A49" s="2" t="s">
        <v>409</v>
      </c>
      <c r="B49" s="2" t="s">
        <v>399</v>
      </c>
      <c r="C49" s="2" t="s">
        <v>145</v>
      </c>
      <c r="D49" s="3" t="s">
        <v>387</v>
      </c>
      <c r="E49" s="2" t="s">
        <v>388</v>
      </c>
      <c r="F49" s="2" t="s">
        <v>399</v>
      </c>
      <c r="G49" s="2" t="s">
        <v>529</v>
      </c>
      <c r="H49" s="2" t="s">
        <v>412</v>
      </c>
    </row>
    <row r="50" spans="1:8" ht="25" x14ac:dyDescent="0.35">
      <c r="A50" s="2" t="s">
        <v>409</v>
      </c>
      <c r="B50" s="2" t="s">
        <v>403</v>
      </c>
      <c r="C50" s="2" t="s">
        <v>145</v>
      </c>
      <c r="D50" s="3" t="s">
        <v>387</v>
      </c>
      <c r="E50" s="2" t="s">
        <v>388</v>
      </c>
      <c r="F50" s="2" t="s">
        <v>403</v>
      </c>
      <c r="G50" s="2" t="s">
        <v>529</v>
      </c>
      <c r="H50" s="2" t="s">
        <v>412</v>
      </c>
    </row>
    <row r="51" spans="1:8" ht="25" x14ac:dyDescent="0.35">
      <c r="A51" s="2" t="s">
        <v>409</v>
      </c>
      <c r="B51" s="2" t="s">
        <v>405</v>
      </c>
      <c r="C51" s="2" t="s">
        <v>531</v>
      </c>
      <c r="D51" s="3" t="s">
        <v>387</v>
      </c>
      <c r="E51" s="2" t="s">
        <v>388</v>
      </c>
      <c r="F51" s="2" t="s">
        <v>405</v>
      </c>
      <c r="G51" s="2" t="s">
        <v>529</v>
      </c>
      <c r="H51" s="2" t="s">
        <v>412</v>
      </c>
    </row>
    <row r="52" spans="1:8" x14ac:dyDescent="0.35">
      <c r="A52" s="2" t="s">
        <v>409</v>
      </c>
      <c r="B52" s="2" t="s">
        <v>532</v>
      </c>
      <c r="C52" s="2" t="s">
        <v>25</v>
      </c>
      <c r="D52" s="3" t="s">
        <v>470</v>
      </c>
      <c r="E52" s="2" t="s">
        <v>10</v>
      </c>
      <c r="F52" s="2" t="s">
        <v>10</v>
      </c>
      <c r="G52" s="2" t="s">
        <v>533</v>
      </c>
      <c r="H52" s="2" t="s">
        <v>534</v>
      </c>
    </row>
    <row r="53" spans="1:8" x14ac:dyDescent="0.35">
      <c r="A53" s="2" t="s">
        <v>409</v>
      </c>
      <c r="B53" s="2" t="s">
        <v>535</v>
      </c>
      <c r="C53" s="2" t="s">
        <v>536</v>
      </c>
      <c r="D53" s="3" t="s">
        <v>470</v>
      </c>
      <c r="E53" s="2" t="s">
        <v>10</v>
      </c>
      <c r="F53" s="2" t="s">
        <v>10</v>
      </c>
      <c r="G53" s="2" t="s">
        <v>537</v>
      </c>
      <c r="H53" s="2" t="s">
        <v>534</v>
      </c>
    </row>
    <row r="54" spans="1:8" x14ac:dyDescent="0.35">
      <c r="A54" s="2" t="s">
        <v>409</v>
      </c>
      <c r="B54" s="2" t="s">
        <v>538</v>
      </c>
      <c r="C54" s="2" t="s">
        <v>539</v>
      </c>
      <c r="D54" s="3" t="s">
        <v>470</v>
      </c>
      <c r="E54" s="2" t="s">
        <v>10</v>
      </c>
      <c r="F54" s="2" t="s">
        <v>10</v>
      </c>
      <c r="G54" s="2" t="s">
        <v>540</v>
      </c>
      <c r="H54" s="2" t="s">
        <v>534</v>
      </c>
    </row>
    <row r="55" spans="1:8" x14ac:dyDescent="0.35">
      <c r="A55" s="2" t="s">
        <v>409</v>
      </c>
      <c r="B55" s="2" t="s">
        <v>541</v>
      </c>
      <c r="C55" s="2" t="s">
        <v>539</v>
      </c>
      <c r="D55" s="3" t="s">
        <v>470</v>
      </c>
      <c r="E55" s="2" t="s">
        <v>10</v>
      </c>
      <c r="F55" s="2" t="s">
        <v>10</v>
      </c>
      <c r="G55" s="2" t="s">
        <v>542</v>
      </c>
      <c r="H55" s="2" t="s">
        <v>534</v>
      </c>
    </row>
    <row r="56" spans="1:8" x14ac:dyDescent="0.35">
      <c r="A56" s="2" t="s">
        <v>409</v>
      </c>
      <c r="B56" s="2" t="s">
        <v>543</v>
      </c>
      <c r="C56" s="2" t="s">
        <v>125</v>
      </c>
      <c r="D56" s="3" t="s">
        <v>422</v>
      </c>
      <c r="E56" s="2" t="s">
        <v>10</v>
      </c>
      <c r="F56" s="2" t="s">
        <v>10</v>
      </c>
      <c r="G56" s="2" t="s">
        <v>544</v>
      </c>
      <c r="H56" s="2" t="s">
        <v>10</v>
      </c>
    </row>
  </sheetData>
  <autoFilter ref="A1:H56" xr:uid="{00000000-0009-0000-0000-000001000000}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/>
  </sheetViews>
  <sheetFormatPr defaultRowHeight="14.5" x14ac:dyDescent="0.35"/>
  <cols>
    <col min="1" max="1" width="10" customWidth="1"/>
    <col min="2" max="2" width="30" customWidth="1"/>
    <col min="3" max="3" width="14" customWidth="1"/>
    <col min="4" max="4" width="13" customWidth="1"/>
    <col min="5" max="5" width="10" customWidth="1"/>
    <col min="6" max="6" width="13" customWidth="1"/>
    <col min="7" max="7" width="10" customWidth="1"/>
  </cols>
  <sheetData>
    <row r="1" spans="1:7" ht="15.5" x14ac:dyDescent="0.35">
      <c r="A1" s="6" t="s">
        <v>545</v>
      </c>
    </row>
    <row r="2" spans="1:7" ht="30" customHeight="1" x14ac:dyDescent="0.35">
      <c r="A2" s="15" t="s">
        <v>546</v>
      </c>
      <c r="B2" s="16"/>
      <c r="C2" s="16"/>
      <c r="D2" s="16"/>
      <c r="E2" s="16"/>
      <c r="F2" s="16"/>
      <c r="G2" s="16"/>
    </row>
    <row r="4" spans="1:7" ht="28" customHeight="1" x14ac:dyDescent="0.35">
      <c r="A4" s="1" t="s">
        <v>3</v>
      </c>
      <c r="B4" s="1" t="s">
        <v>4</v>
      </c>
      <c r="C4" s="1" t="s">
        <v>547</v>
      </c>
      <c r="D4" s="1" t="s">
        <v>548</v>
      </c>
      <c r="E4" s="1" t="s">
        <v>549</v>
      </c>
      <c r="F4" s="1" t="s">
        <v>550</v>
      </c>
      <c r="G4" s="1" t="s">
        <v>551</v>
      </c>
    </row>
    <row r="5" spans="1:7" x14ac:dyDescent="0.35">
      <c r="A5" s="8" t="s">
        <v>11</v>
      </c>
      <c r="B5" s="9" t="s">
        <v>12</v>
      </c>
      <c r="C5" s="9">
        <v>3</v>
      </c>
      <c r="D5" s="9">
        <f>COUNTIFS('Peta S2T'!$D:$D,$A5,'Peta S2T'!$E:$E,$B5)</f>
        <v>3</v>
      </c>
      <c r="E5" s="9">
        <f>COUNTIFS('Peta S2T'!$D:$D,$A5,'Peta S2T'!$E:$E,$B5,'Peta S2T'!$A:$A,"&lt;&gt;(tidak dipakai)")</f>
        <v>3</v>
      </c>
      <c r="F5" s="9">
        <f>COUNTIFS('Peta S2T'!$D:$D,$A5,'Peta S2T'!$E:$E,$B5,'Peta S2T'!$A:$A,"(tidak dipakai)")</f>
        <v>0</v>
      </c>
      <c r="G5" s="8" t="str">
        <f t="shared" ref="G5:G28" si="0">IF(D5=C5,"Lengkap","Cek")</f>
        <v>Lengkap</v>
      </c>
    </row>
    <row r="6" spans="1:7" x14ac:dyDescent="0.35">
      <c r="A6" s="8" t="s">
        <v>11</v>
      </c>
      <c r="B6" s="9" t="s">
        <v>26</v>
      </c>
      <c r="C6" s="9">
        <v>7</v>
      </c>
      <c r="D6" s="9">
        <f>COUNTIFS('Peta S2T'!$D:$D,$A6,'Peta S2T'!$E:$E,$B6)</f>
        <v>7</v>
      </c>
      <c r="E6" s="9">
        <f>COUNTIFS('Peta S2T'!$D:$D,$A6,'Peta S2T'!$E:$E,$B6,'Peta S2T'!$A:$A,"&lt;&gt;(tidak dipakai)")</f>
        <v>4</v>
      </c>
      <c r="F6" s="9">
        <f>COUNTIFS('Peta S2T'!$D:$D,$A6,'Peta S2T'!$E:$E,$B6,'Peta S2T'!$A:$A,"(tidak dipakai)")</f>
        <v>3</v>
      </c>
      <c r="G6" s="8" t="str">
        <f t="shared" si="0"/>
        <v>Lengkap</v>
      </c>
    </row>
    <row r="7" spans="1:7" x14ac:dyDescent="0.35">
      <c r="A7" s="8" t="s">
        <v>11</v>
      </c>
      <c r="B7" s="9" t="s">
        <v>51</v>
      </c>
      <c r="C7" s="9">
        <v>8</v>
      </c>
      <c r="D7" s="9">
        <f>COUNTIFS('Peta S2T'!$D:$D,$A7,'Peta S2T'!$E:$E,$B7)</f>
        <v>8</v>
      </c>
      <c r="E7" s="9">
        <f>COUNTIFS('Peta S2T'!$D:$D,$A7,'Peta S2T'!$E:$E,$B7,'Peta S2T'!$A:$A,"&lt;&gt;(tidak dipakai)")</f>
        <v>3</v>
      </c>
      <c r="F7" s="9">
        <f>COUNTIFS('Peta S2T'!$D:$D,$A7,'Peta S2T'!$E:$E,$B7,'Peta S2T'!$A:$A,"(tidak dipakai)")</f>
        <v>5</v>
      </c>
      <c r="G7" s="8" t="str">
        <f t="shared" si="0"/>
        <v>Lengkap</v>
      </c>
    </row>
    <row r="8" spans="1:7" x14ac:dyDescent="0.35">
      <c r="A8" s="8" t="s">
        <v>11</v>
      </c>
      <c r="B8" s="9" t="s">
        <v>73</v>
      </c>
      <c r="C8" s="9">
        <v>7</v>
      </c>
      <c r="D8" s="9">
        <f>COUNTIFS('Peta S2T'!$D:$D,$A8,'Peta S2T'!$E:$E,$B8)</f>
        <v>7</v>
      </c>
      <c r="E8" s="9">
        <f>COUNTIFS('Peta S2T'!$D:$D,$A8,'Peta S2T'!$E:$E,$B8,'Peta S2T'!$A:$A,"&lt;&gt;(tidak dipakai)")</f>
        <v>4</v>
      </c>
      <c r="F8" s="9">
        <f>COUNTIFS('Peta S2T'!$D:$D,$A8,'Peta S2T'!$E:$E,$B8,'Peta S2T'!$A:$A,"(tidak dipakai)")</f>
        <v>3</v>
      </c>
      <c r="G8" s="8" t="str">
        <f t="shared" si="0"/>
        <v>Lengkap</v>
      </c>
    </row>
    <row r="9" spans="1:7" x14ac:dyDescent="0.35">
      <c r="A9" s="8" t="s">
        <v>11</v>
      </c>
      <c r="B9" s="9" t="s">
        <v>96</v>
      </c>
      <c r="C9" s="9">
        <v>8</v>
      </c>
      <c r="D9" s="9">
        <f>COUNTIFS('Peta S2T'!$D:$D,$A9,'Peta S2T'!$E:$E,$B9)</f>
        <v>8</v>
      </c>
      <c r="E9" s="9">
        <f>COUNTIFS('Peta S2T'!$D:$D,$A9,'Peta S2T'!$E:$E,$B9,'Peta S2T'!$A:$A,"&lt;&gt;(tidak dipakai)")</f>
        <v>3</v>
      </c>
      <c r="F9" s="9">
        <f>COUNTIFS('Peta S2T'!$D:$D,$A9,'Peta S2T'!$E:$E,$B9,'Peta S2T'!$A:$A,"(tidak dipakai)")</f>
        <v>5</v>
      </c>
      <c r="G9" s="8" t="str">
        <f t="shared" si="0"/>
        <v>Lengkap</v>
      </c>
    </row>
    <row r="10" spans="1:7" x14ac:dyDescent="0.35">
      <c r="A10" s="8" t="s">
        <v>11</v>
      </c>
      <c r="B10" s="9" t="s">
        <v>117</v>
      </c>
      <c r="C10" s="9">
        <v>8</v>
      </c>
      <c r="D10" s="9">
        <f>COUNTIFS('Peta S2T'!$D:$D,$A10,'Peta S2T'!$E:$E,$B10)</f>
        <v>8</v>
      </c>
      <c r="E10" s="9">
        <f>COUNTIFS('Peta S2T'!$D:$D,$A10,'Peta S2T'!$E:$E,$B10,'Peta S2T'!$A:$A,"&lt;&gt;(tidak dipakai)")</f>
        <v>5</v>
      </c>
      <c r="F10" s="9">
        <f>COUNTIFS('Peta S2T'!$D:$D,$A10,'Peta S2T'!$E:$E,$B10,'Peta S2T'!$A:$A,"(tidak dipakai)")</f>
        <v>3</v>
      </c>
      <c r="G10" s="8" t="str">
        <f t="shared" si="0"/>
        <v>Lengkap</v>
      </c>
    </row>
    <row r="11" spans="1:7" x14ac:dyDescent="0.35">
      <c r="A11" s="8" t="s">
        <v>11</v>
      </c>
      <c r="B11" s="9" t="s">
        <v>141</v>
      </c>
      <c r="C11" s="9">
        <v>8</v>
      </c>
      <c r="D11" s="9">
        <f>COUNTIFS('Peta S2T'!$D:$D,$A11,'Peta S2T'!$E:$E,$B11)</f>
        <v>8</v>
      </c>
      <c r="E11" s="9">
        <f>COUNTIFS('Peta S2T'!$D:$D,$A11,'Peta S2T'!$E:$E,$B11,'Peta S2T'!$A:$A,"&lt;&gt;(tidak dipakai)")</f>
        <v>7</v>
      </c>
      <c r="F11" s="9">
        <f>COUNTIFS('Peta S2T'!$D:$D,$A11,'Peta S2T'!$E:$E,$B11,'Peta S2T'!$A:$A,"(tidak dipakai)")</f>
        <v>1</v>
      </c>
      <c r="G11" s="8" t="str">
        <f t="shared" si="0"/>
        <v>Lengkap</v>
      </c>
    </row>
    <row r="12" spans="1:7" x14ac:dyDescent="0.35">
      <c r="A12" s="8" t="s">
        <v>11</v>
      </c>
      <c r="B12" s="9" t="s">
        <v>166</v>
      </c>
      <c r="C12" s="9">
        <v>4</v>
      </c>
      <c r="D12" s="9">
        <f>COUNTIFS('Peta S2T'!$D:$D,$A12,'Peta S2T'!$E:$E,$B12)</f>
        <v>4</v>
      </c>
      <c r="E12" s="9">
        <f>COUNTIFS('Peta S2T'!$D:$D,$A12,'Peta S2T'!$E:$E,$B12,'Peta S2T'!$A:$A,"&lt;&gt;(tidak dipakai)")</f>
        <v>0</v>
      </c>
      <c r="F12" s="9">
        <f>COUNTIFS('Peta S2T'!$D:$D,$A12,'Peta S2T'!$E:$E,$B12,'Peta S2T'!$A:$A,"(tidak dipakai)")</f>
        <v>4</v>
      </c>
      <c r="G12" s="8" t="str">
        <f t="shared" si="0"/>
        <v>Lengkap</v>
      </c>
    </row>
    <row r="13" spans="1:7" x14ac:dyDescent="0.35">
      <c r="A13" s="8" t="s">
        <v>11</v>
      </c>
      <c r="B13" s="9" t="s">
        <v>173</v>
      </c>
      <c r="C13" s="9">
        <v>6</v>
      </c>
      <c r="D13" s="9">
        <f>COUNTIFS('Peta S2T'!$D:$D,$A13,'Peta S2T'!$E:$E,$B13)</f>
        <v>6</v>
      </c>
      <c r="E13" s="9">
        <f>COUNTIFS('Peta S2T'!$D:$D,$A13,'Peta S2T'!$E:$E,$B13,'Peta S2T'!$A:$A,"&lt;&gt;(tidak dipakai)")</f>
        <v>0</v>
      </c>
      <c r="F13" s="9">
        <f>COUNTIFS('Peta S2T'!$D:$D,$A13,'Peta S2T'!$E:$E,$B13,'Peta S2T'!$A:$A,"(tidak dipakai)")</f>
        <v>6</v>
      </c>
      <c r="G13" s="8" t="str">
        <f t="shared" si="0"/>
        <v>Lengkap</v>
      </c>
    </row>
    <row r="14" spans="1:7" x14ac:dyDescent="0.35">
      <c r="A14" s="8" t="s">
        <v>11</v>
      </c>
      <c r="B14" s="9" t="s">
        <v>184</v>
      </c>
      <c r="C14" s="9">
        <v>6</v>
      </c>
      <c r="D14" s="9">
        <f>COUNTIFS('Peta S2T'!$D:$D,$A14,'Peta S2T'!$E:$E,$B14)</f>
        <v>6</v>
      </c>
      <c r="E14" s="9">
        <f>COUNTIFS('Peta S2T'!$D:$D,$A14,'Peta S2T'!$E:$E,$B14,'Peta S2T'!$A:$A,"&lt;&gt;(tidak dipakai)")</f>
        <v>0</v>
      </c>
      <c r="F14" s="9">
        <f>COUNTIFS('Peta S2T'!$D:$D,$A14,'Peta S2T'!$E:$E,$B14,'Peta S2T'!$A:$A,"(tidak dipakai)")</f>
        <v>6</v>
      </c>
      <c r="G14" s="8" t="str">
        <f t="shared" si="0"/>
        <v>Lengkap</v>
      </c>
    </row>
    <row r="15" spans="1:7" x14ac:dyDescent="0.35">
      <c r="A15" s="8" t="s">
        <v>11</v>
      </c>
      <c r="B15" s="9" t="s">
        <v>196</v>
      </c>
      <c r="C15" s="9">
        <v>7</v>
      </c>
      <c r="D15" s="9">
        <f>COUNTIFS('Peta S2T'!$D:$D,$A15,'Peta S2T'!$E:$E,$B15)</f>
        <v>7</v>
      </c>
      <c r="E15" s="9">
        <f>COUNTIFS('Peta S2T'!$D:$D,$A15,'Peta S2T'!$E:$E,$B15,'Peta S2T'!$A:$A,"&lt;&gt;(tidak dipakai)")</f>
        <v>3</v>
      </c>
      <c r="F15" s="9">
        <f>COUNTIFS('Peta S2T'!$D:$D,$A15,'Peta S2T'!$E:$E,$B15,'Peta S2T'!$A:$A,"(tidak dipakai)")</f>
        <v>4</v>
      </c>
      <c r="G15" s="8" t="str">
        <f t="shared" si="0"/>
        <v>Lengkap</v>
      </c>
    </row>
    <row r="16" spans="1:7" x14ac:dyDescent="0.35">
      <c r="A16" s="8" t="s">
        <v>211</v>
      </c>
      <c r="B16" s="9" t="s">
        <v>212</v>
      </c>
      <c r="C16" s="9">
        <v>7</v>
      </c>
      <c r="D16" s="9">
        <f>COUNTIFS('Peta S2T'!$D:$D,$A16,'Peta S2T'!$E:$E,$B16)</f>
        <v>7</v>
      </c>
      <c r="E16" s="9">
        <f>COUNTIFS('Peta S2T'!$D:$D,$A16,'Peta S2T'!$E:$E,$B16,'Peta S2T'!$A:$A,"&lt;&gt;(tidak dipakai)")</f>
        <v>5</v>
      </c>
      <c r="F16" s="9">
        <f>COUNTIFS('Peta S2T'!$D:$D,$A16,'Peta S2T'!$E:$E,$B16,'Peta S2T'!$A:$A,"(tidak dipakai)")</f>
        <v>2</v>
      </c>
      <c r="G16" s="8" t="str">
        <f t="shared" si="0"/>
        <v>Lengkap</v>
      </c>
    </row>
    <row r="17" spans="1:7" x14ac:dyDescent="0.35">
      <c r="A17" s="8" t="s">
        <v>211</v>
      </c>
      <c r="B17" s="9" t="s">
        <v>234</v>
      </c>
      <c r="C17" s="9">
        <v>6</v>
      </c>
      <c r="D17" s="9">
        <f>COUNTIFS('Peta S2T'!$D:$D,$A17,'Peta S2T'!$E:$E,$B17)</f>
        <v>6</v>
      </c>
      <c r="E17" s="9">
        <f>COUNTIFS('Peta S2T'!$D:$D,$A17,'Peta S2T'!$E:$E,$B17,'Peta S2T'!$A:$A,"&lt;&gt;(tidak dipakai)")</f>
        <v>0</v>
      </c>
      <c r="F17" s="9">
        <f>COUNTIFS('Peta S2T'!$D:$D,$A17,'Peta S2T'!$E:$E,$B17,'Peta S2T'!$A:$A,"(tidak dipakai)")</f>
        <v>6</v>
      </c>
      <c r="G17" s="8" t="str">
        <f t="shared" si="0"/>
        <v>Lengkap</v>
      </c>
    </row>
    <row r="18" spans="1:7" x14ac:dyDescent="0.35">
      <c r="A18" s="8" t="s">
        <v>211</v>
      </c>
      <c r="B18" s="9" t="s">
        <v>245</v>
      </c>
      <c r="C18" s="9">
        <v>5</v>
      </c>
      <c r="D18" s="9">
        <f>COUNTIFS('Peta S2T'!$D:$D,$A18,'Peta S2T'!$E:$E,$B18)</f>
        <v>5</v>
      </c>
      <c r="E18" s="9">
        <f>COUNTIFS('Peta S2T'!$D:$D,$A18,'Peta S2T'!$E:$E,$B18,'Peta S2T'!$A:$A,"&lt;&gt;(tidak dipakai)")</f>
        <v>4</v>
      </c>
      <c r="F18" s="9">
        <f>COUNTIFS('Peta S2T'!$D:$D,$A18,'Peta S2T'!$E:$E,$B18,'Peta S2T'!$A:$A,"(tidak dipakai)")</f>
        <v>1</v>
      </c>
      <c r="G18" s="8" t="str">
        <f t="shared" si="0"/>
        <v>Lengkap</v>
      </c>
    </row>
    <row r="19" spans="1:7" x14ac:dyDescent="0.35">
      <c r="A19" s="8" t="s">
        <v>211</v>
      </c>
      <c r="B19" s="9" t="s">
        <v>257</v>
      </c>
      <c r="C19" s="9">
        <v>5</v>
      </c>
      <c r="D19" s="9">
        <f>COUNTIFS('Peta S2T'!$D:$D,$A19,'Peta S2T'!$E:$E,$B19)</f>
        <v>5</v>
      </c>
      <c r="E19" s="9">
        <f>COUNTIFS('Peta S2T'!$D:$D,$A19,'Peta S2T'!$E:$E,$B19,'Peta S2T'!$A:$A,"&lt;&gt;(tidak dipakai)")</f>
        <v>2</v>
      </c>
      <c r="F19" s="9">
        <f>COUNTIFS('Peta S2T'!$D:$D,$A19,'Peta S2T'!$E:$E,$B19,'Peta S2T'!$A:$A,"(tidak dipakai)")</f>
        <v>3</v>
      </c>
      <c r="G19" s="8" t="str">
        <f t="shared" si="0"/>
        <v>Lengkap</v>
      </c>
    </row>
    <row r="20" spans="1:7" x14ac:dyDescent="0.35">
      <c r="A20" s="8" t="s">
        <v>211</v>
      </c>
      <c r="B20" s="9" t="s">
        <v>270</v>
      </c>
      <c r="C20" s="9">
        <v>7</v>
      </c>
      <c r="D20" s="9">
        <f>COUNTIFS('Peta S2T'!$D:$D,$A20,'Peta S2T'!$E:$E,$B20)</f>
        <v>7</v>
      </c>
      <c r="E20" s="9">
        <f>COUNTIFS('Peta S2T'!$D:$D,$A20,'Peta S2T'!$E:$E,$B20,'Peta S2T'!$A:$A,"&lt;&gt;(tidak dipakai)")</f>
        <v>5</v>
      </c>
      <c r="F20" s="9">
        <f>COUNTIFS('Peta S2T'!$D:$D,$A20,'Peta S2T'!$E:$E,$B20,'Peta S2T'!$A:$A,"(tidak dipakai)")</f>
        <v>2</v>
      </c>
      <c r="G20" s="8" t="str">
        <f t="shared" si="0"/>
        <v>Lengkap</v>
      </c>
    </row>
    <row r="21" spans="1:7" x14ac:dyDescent="0.35">
      <c r="A21" s="8" t="s">
        <v>211</v>
      </c>
      <c r="B21" s="9" t="s">
        <v>289</v>
      </c>
      <c r="C21" s="9">
        <v>6</v>
      </c>
      <c r="D21" s="9">
        <f>COUNTIFS('Peta S2T'!$D:$D,$A21,'Peta S2T'!$E:$E,$B21)</f>
        <v>6</v>
      </c>
      <c r="E21" s="9">
        <f>COUNTIFS('Peta S2T'!$D:$D,$A21,'Peta S2T'!$E:$E,$B21,'Peta S2T'!$A:$A,"&lt;&gt;(tidak dipakai)")</f>
        <v>6</v>
      </c>
      <c r="F21" s="9">
        <f>COUNTIFS('Peta S2T'!$D:$D,$A21,'Peta S2T'!$E:$E,$B21,'Peta S2T'!$A:$A,"(tidak dipakai)")</f>
        <v>0</v>
      </c>
      <c r="G21" s="8" t="str">
        <f t="shared" si="0"/>
        <v>Lengkap</v>
      </c>
    </row>
    <row r="22" spans="1:7" x14ac:dyDescent="0.35">
      <c r="A22" s="8" t="s">
        <v>211</v>
      </c>
      <c r="B22" s="9" t="s">
        <v>303</v>
      </c>
      <c r="C22" s="9">
        <v>3</v>
      </c>
      <c r="D22" s="9">
        <f>COUNTIFS('Peta S2T'!$D:$D,$A22,'Peta S2T'!$E:$E,$B22)</f>
        <v>3</v>
      </c>
      <c r="E22" s="9">
        <f>COUNTIFS('Peta S2T'!$D:$D,$A22,'Peta S2T'!$E:$E,$B22,'Peta S2T'!$A:$A,"&lt;&gt;(tidak dipakai)")</f>
        <v>0</v>
      </c>
      <c r="F22" s="9">
        <f>COUNTIFS('Peta S2T'!$D:$D,$A22,'Peta S2T'!$E:$E,$B22,'Peta S2T'!$A:$A,"(tidak dipakai)")</f>
        <v>3</v>
      </c>
      <c r="G22" s="8" t="str">
        <f t="shared" si="0"/>
        <v>Lengkap</v>
      </c>
    </row>
    <row r="23" spans="1:7" x14ac:dyDescent="0.35">
      <c r="A23" s="8" t="s">
        <v>308</v>
      </c>
      <c r="B23" s="9" t="s">
        <v>309</v>
      </c>
      <c r="C23" s="9">
        <v>14</v>
      </c>
      <c r="D23" s="9">
        <f>COUNTIFS('Peta S2T'!$D:$D,$A23,'Peta S2T'!$E:$E,$B23)</f>
        <v>14</v>
      </c>
      <c r="E23" s="9">
        <f>COUNTIFS('Peta S2T'!$D:$D,$A23,'Peta S2T'!$E:$E,$B23,'Peta S2T'!$A:$A,"&lt;&gt;(tidak dipakai)")</f>
        <v>12</v>
      </c>
      <c r="F23" s="9">
        <f>COUNTIFS('Peta S2T'!$D:$D,$A23,'Peta S2T'!$E:$E,$B23,'Peta S2T'!$A:$A,"(tidak dipakai)")</f>
        <v>2</v>
      </c>
      <c r="G23" s="8" t="str">
        <f t="shared" si="0"/>
        <v>Lengkap</v>
      </c>
    </row>
    <row r="24" spans="1:7" x14ac:dyDescent="0.35">
      <c r="A24" s="8" t="s">
        <v>354</v>
      </c>
      <c r="B24" s="9" t="s">
        <v>355</v>
      </c>
      <c r="C24" s="9">
        <v>9</v>
      </c>
      <c r="D24" s="9">
        <f>COUNTIFS('Peta S2T'!$D:$D,$A24,'Peta S2T'!$E:$E,$B24)</f>
        <v>9</v>
      </c>
      <c r="E24" s="9">
        <f>COUNTIFS('Peta S2T'!$D:$D,$A24,'Peta S2T'!$E:$E,$B24,'Peta S2T'!$A:$A,"&lt;&gt;(tidak dipakai)")</f>
        <v>9</v>
      </c>
      <c r="F24" s="9">
        <f>COUNTIFS('Peta S2T'!$D:$D,$A24,'Peta S2T'!$E:$E,$B24,'Peta S2T'!$A:$A,"(tidak dipakai)")</f>
        <v>0</v>
      </c>
      <c r="G24" s="8" t="str">
        <f t="shared" si="0"/>
        <v>Lengkap</v>
      </c>
    </row>
    <row r="25" spans="1:7" x14ac:dyDescent="0.35">
      <c r="A25" s="8" t="s">
        <v>354</v>
      </c>
      <c r="B25" s="9" t="s">
        <v>374</v>
      </c>
      <c r="C25" s="9">
        <v>4</v>
      </c>
      <c r="D25" s="9">
        <f>COUNTIFS('Peta S2T'!$D:$D,$A25,'Peta S2T'!$E:$E,$B25)</f>
        <v>4</v>
      </c>
      <c r="E25" s="9">
        <f>COUNTIFS('Peta S2T'!$D:$D,$A25,'Peta S2T'!$E:$E,$B25,'Peta S2T'!$A:$A,"&lt;&gt;(tidak dipakai)")</f>
        <v>3</v>
      </c>
      <c r="F25" s="9">
        <f>COUNTIFS('Peta S2T'!$D:$D,$A25,'Peta S2T'!$E:$E,$B25,'Peta S2T'!$A:$A,"(tidak dipakai)")</f>
        <v>1</v>
      </c>
      <c r="G25" s="8" t="str">
        <f t="shared" si="0"/>
        <v>Lengkap</v>
      </c>
    </row>
    <row r="26" spans="1:7" x14ac:dyDescent="0.35">
      <c r="A26" s="8" t="s">
        <v>354</v>
      </c>
      <c r="B26" s="9" t="s">
        <v>381</v>
      </c>
      <c r="C26" s="9">
        <v>5</v>
      </c>
      <c r="D26" s="9">
        <f>COUNTIFS('Peta S2T'!$D:$D,$A26,'Peta S2T'!$E:$E,$B26)</f>
        <v>5</v>
      </c>
      <c r="E26" s="9">
        <f>COUNTIFS('Peta S2T'!$D:$D,$A26,'Peta S2T'!$E:$E,$B26,'Peta S2T'!$A:$A,"&lt;&gt;(tidak dipakai)")</f>
        <v>0</v>
      </c>
      <c r="F26" s="9">
        <f>COUNTIFS('Peta S2T'!$D:$D,$A26,'Peta S2T'!$E:$E,$B26,'Peta S2T'!$A:$A,"(tidak dipakai)")</f>
        <v>5</v>
      </c>
      <c r="G26" s="8" t="str">
        <f t="shared" si="0"/>
        <v>Lengkap</v>
      </c>
    </row>
    <row r="27" spans="1:7" x14ac:dyDescent="0.35">
      <c r="A27" s="8" t="s">
        <v>387</v>
      </c>
      <c r="B27" s="9" t="s">
        <v>388</v>
      </c>
      <c r="C27" s="9">
        <v>8</v>
      </c>
      <c r="D27" s="9">
        <f>COUNTIFS('Peta S2T'!$D:$D,$A27,'Peta S2T'!$E:$E,$B27)</f>
        <v>8</v>
      </c>
      <c r="E27" s="9">
        <f>COUNTIFS('Peta S2T'!$D:$D,$A27,'Peta S2T'!$E:$E,$B27,'Peta S2T'!$A:$A,"&lt;&gt;(tidak dipakai)")</f>
        <v>8</v>
      </c>
      <c r="F27" s="9">
        <f>COUNTIFS('Peta S2T'!$D:$D,$A27,'Peta S2T'!$E:$E,$B27,'Peta S2T'!$A:$A,"(tidak dipakai)")</f>
        <v>0</v>
      </c>
      <c r="G27" s="8" t="str">
        <f t="shared" si="0"/>
        <v>Lengkap</v>
      </c>
    </row>
    <row r="28" spans="1:7" x14ac:dyDescent="0.35">
      <c r="A28" s="8" t="s">
        <v>413</v>
      </c>
      <c r="B28" s="9" t="s">
        <v>414</v>
      </c>
      <c r="C28" s="9">
        <v>2</v>
      </c>
      <c r="D28" s="9">
        <f>COUNTIFS('Peta S2T'!$D:$D,$A28,'Peta S2T'!$E:$E,$B28)</f>
        <v>2</v>
      </c>
      <c r="E28" s="9">
        <f>COUNTIFS('Peta S2T'!$D:$D,$A28,'Peta S2T'!$E:$E,$B28,'Peta S2T'!$A:$A,"&lt;&gt;(tidak dipakai)")</f>
        <v>2</v>
      </c>
      <c r="F28" s="9">
        <f>COUNTIFS('Peta S2T'!$D:$D,$A28,'Peta S2T'!$E:$E,$B28,'Peta S2T'!$A:$A,"(tidak dipakai)")</f>
        <v>0</v>
      </c>
      <c r="G28" s="8" t="str">
        <f t="shared" si="0"/>
        <v>Lengkap</v>
      </c>
    </row>
    <row r="29" spans="1:7" x14ac:dyDescent="0.35">
      <c r="A29" s="10" t="s">
        <v>552</v>
      </c>
      <c r="B29" s="11" t="s">
        <v>553</v>
      </c>
      <c r="C29" s="11">
        <f>SUM(C5:C28)</f>
        <v>153</v>
      </c>
      <c r="D29" s="11">
        <f>SUM(D5:D28)</f>
        <v>153</v>
      </c>
      <c r="E29" s="11">
        <f>SUM(E5:E28)</f>
        <v>88</v>
      </c>
      <c r="F29" s="11">
        <f>SUM(F5:F28)</f>
        <v>65</v>
      </c>
      <c r="G29" s="10" t="str">
        <f>IF(AND(D29=C29,COUNTA('Peta S2T'!F:F)-1=C29),"Lengkap","Cek")</f>
        <v>Lengkap</v>
      </c>
    </row>
    <row r="31" spans="1:7" x14ac:dyDescent="0.35">
      <c r="A31" s="12" t="s">
        <v>3</v>
      </c>
      <c r="B31" s="12" t="s">
        <v>547</v>
      </c>
      <c r="C31" s="12" t="s">
        <v>548</v>
      </c>
      <c r="D31" s="12" t="s">
        <v>549</v>
      </c>
      <c r="E31" s="12" t="s">
        <v>550</v>
      </c>
    </row>
    <row r="32" spans="1:7" x14ac:dyDescent="0.35">
      <c r="A32" s="8" t="s">
        <v>11</v>
      </c>
      <c r="B32" s="9">
        <f t="shared" ref="B32:E37" si="1">SUMIFS(C$5:C$28,$A$5:$A$28,$A32)</f>
        <v>72</v>
      </c>
      <c r="C32" s="9">
        <f t="shared" si="1"/>
        <v>72</v>
      </c>
      <c r="D32" s="9">
        <f t="shared" si="1"/>
        <v>32</v>
      </c>
      <c r="E32" s="9">
        <f t="shared" si="1"/>
        <v>40</v>
      </c>
    </row>
    <row r="33" spans="1:5" x14ac:dyDescent="0.35">
      <c r="A33" s="8" t="s">
        <v>211</v>
      </c>
      <c r="B33" s="9">
        <f t="shared" si="1"/>
        <v>39</v>
      </c>
      <c r="C33" s="9">
        <f t="shared" si="1"/>
        <v>39</v>
      </c>
      <c r="D33" s="9">
        <f t="shared" si="1"/>
        <v>22</v>
      </c>
      <c r="E33" s="9">
        <f t="shared" si="1"/>
        <v>17</v>
      </c>
    </row>
    <row r="34" spans="1:5" x14ac:dyDescent="0.35">
      <c r="A34" s="8" t="s">
        <v>308</v>
      </c>
      <c r="B34" s="9">
        <f t="shared" si="1"/>
        <v>14</v>
      </c>
      <c r="C34" s="9">
        <f t="shared" si="1"/>
        <v>14</v>
      </c>
      <c r="D34" s="9">
        <f t="shared" si="1"/>
        <v>12</v>
      </c>
      <c r="E34" s="9">
        <f t="shared" si="1"/>
        <v>2</v>
      </c>
    </row>
    <row r="35" spans="1:5" x14ac:dyDescent="0.35">
      <c r="A35" s="8" t="s">
        <v>354</v>
      </c>
      <c r="B35" s="9">
        <f t="shared" si="1"/>
        <v>18</v>
      </c>
      <c r="C35" s="9">
        <f t="shared" si="1"/>
        <v>18</v>
      </c>
      <c r="D35" s="9">
        <f t="shared" si="1"/>
        <v>12</v>
      </c>
      <c r="E35" s="9">
        <f t="shared" si="1"/>
        <v>6</v>
      </c>
    </row>
    <row r="36" spans="1:5" x14ac:dyDescent="0.35">
      <c r="A36" s="8" t="s">
        <v>387</v>
      </c>
      <c r="B36" s="9">
        <f t="shared" si="1"/>
        <v>8</v>
      </c>
      <c r="C36" s="9">
        <f t="shared" si="1"/>
        <v>8</v>
      </c>
      <c r="D36" s="9">
        <f t="shared" si="1"/>
        <v>8</v>
      </c>
      <c r="E36" s="9">
        <f t="shared" si="1"/>
        <v>0</v>
      </c>
    </row>
    <row r="37" spans="1:5" x14ac:dyDescent="0.35">
      <c r="A37" s="8" t="s">
        <v>413</v>
      </c>
      <c r="B37" s="9">
        <f t="shared" si="1"/>
        <v>2</v>
      </c>
      <c r="C37" s="9">
        <f t="shared" si="1"/>
        <v>2</v>
      </c>
      <c r="D37" s="9">
        <f t="shared" si="1"/>
        <v>2</v>
      </c>
      <c r="E37" s="9">
        <f t="shared" si="1"/>
        <v>0</v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4"/>
  <sheetViews>
    <sheetView workbookViewId="0"/>
  </sheetViews>
  <sheetFormatPr defaultRowHeight="14.5" x14ac:dyDescent="0.35"/>
  <cols>
    <col min="1" max="1" width="140" customWidth="1"/>
  </cols>
  <sheetData>
    <row r="1" spans="1:1" ht="15.5" x14ac:dyDescent="0.35">
      <c r="A1" s="13" t="s">
        <v>554</v>
      </c>
    </row>
    <row r="2" spans="1:1" x14ac:dyDescent="0.35">
      <c r="A2" s="7"/>
    </row>
    <row r="3" spans="1:1" x14ac:dyDescent="0.35">
      <c r="A3" s="14" t="s">
        <v>555</v>
      </c>
    </row>
    <row r="4" spans="1:1" x14ac:dyDescent="0.35">
      <c r="A4" s="7" t="s">
        <v>556</v>
      </c>
    </row>
    <row r="5" spans="1:1" ht="25" x14ac:dyDescent="0.35">
      <c r="A5" s="7" t="s">
        <v>557</v>
      </c>
    </row>
    <row r="6" spans="1:1" x14ac:dyDescent="0.35">
      <c r="A6" s="7" t="s">
        <v>558</v>
      </c>
    </row>
    <row r="7" spans="1:1" x14ac:dyDescent="0.35">
      <c r="A7" s="7"/>
    </row>
    <row r="8" spans="1:1" x14ac:dyDescent="0.35">
      <c r="A8" s="14" t="s">
        <v>559</v>
      </c>
    </row>
    <row r="9" spans="1:1" x14ac:dyDescent="0.35">
      <c r="A9" s="7" t="s">
        <v>560</v>
      </c>
    </row>
    <row r="10" spans="1:1" x14ac:dyDescent="0.35">
      <c r="A10" s="7" t="s">
        <v>561</v>
      </c>
    </row>
    <row r="11" spans="1:1" x14ac:dyDescent="0.35">
      <c r="A11" s="7" t="s">
        <v>562</v>
      </c>
    </row>
    <row r="12" spans="1:1" x14ac:dyDescent="0.35">
      <c r="A12" s="7" t="s">
        <v>563</v>
      </c>
    </row>
    <row r="13" spans="1:1" x14ac:dyDescent="0.35">
      <c r="A13" s="7" t="s">
        <v>564</v>
      </c>
    </row>
    <row r="14" spans="1:1" x14ac:dyDescent="0.35">
      <c r="A14" s="7"/>
    </row>
    <row r="15" spans="1:1" x14ac:dyDescent="0.35">
      <c r="A15" s="14" t="s">
        <v>565</v>
      </c>
    </row>
    <row r="16" spans="1:1" x14ac:dyDescent="0.35">
      <c r="A16" s="7" t="s">
        <v>566</v>
      </c>
    </row>
    <row r="17" spans="1:1" x14ac:dyDescent="0.35">
      <c r="A17" s="7" t="s">
        <v>567</v>
      </c>
    </row>
    <row r="18" spans="1:1" x14ac:dyDescent="0.35">
      <c r="A18" s="7" t="s">
        <v>568</v>
      </c>
    </row>
    <row r="19" spans="1:1" x14ac:dyDescent="0.35">
      <c r="A19" s="7" t="s">
        <v>569</v>
      </c>
    </row>
    <row r="20" spans="1:1" x14ac:dyDescent="0.35">
      <c r="A20" s="7" t="s">
        <v>570</v>
      </c>
    </row>
    <row r="21" spans="1:1" x14ac:dyDescent="0.35">
      <c r="A21" s="7"/>
    </row>
    <row r="22" spans="1:1" x14ac:dyDescent="0.35">
      <c r="A22" s="14" t="s">
        <v>571</v>
      </c>
    </row>
    <row r="23" spans="1:1" ht="25" x14ac:dyDescent="0.35">
      <c r="A23" s="7" t="s">
        <v>572</v>
      </c>
    </row>
    <row r="24" spans="1:1" x14ac:dyDescent="0.35">
      <c r="A24" s="7"/>
    </row>
    <row r="25" spans="1:1" x14ac:dyDescent="0.35">
      <c r="A25" s="14" t="s">
        <v>573</v>
      </c>
    </row>
    <row r="26" spans="1:1" x14ac:dyDescent="0.35">
      <c r="A26" s="7" t="s">
        <v>574</v>
      </c>
    </row>
    <row r="27" spans="1:1" x14ac:dyDescent="0.35">
      <c r="A27" s="7" t="s">
        <v>575</v>
      </c>
    </row>
    <row r="28" spans="1:1" x14ac:dyDescent="0.35">
      <c r="A28" s="7"/>
    </row>
    <row r="29" spans="1:1" x14ac:dyDescent="0.35">
      <c r="A29" s="14" t="s">
        <v>576</v>
      </c>
    </row>
    <row r="30" spans="1:1" x14ac:dyDescent="0.35">
      <c r="A30" s="7" t="s">
        <v>577</v>
      </c>
    </row>
    <row r="31" spans="1:1" x14ac:dyDescent="0.35">
      <c r="A31" s="7" t="s">
        <v>578</v>
      </c>
    </row>
    <row r="32" spans="1:1" x14ac:dyDescent="0.35">
      <c r="A32" s="7" t="s">
        <v>579</v>
      </c>
    </row>
    <row r="33" spans="1:1" x14ac:dyDescent="0.35">
      <c r="A33" s="7" t="s">
        <v>580</v>
      </c>
    </row>
    <row r="34" spans="1:1" x14ac:dyDescent="0.35">
      <c r="A34" s="7" t="s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Peta S2T</vt:lpstr>
      <vt:lpstr>Kolom target lain</vt:lpstr>
      <vt:lpstr>Ringkasan</vt:lpstr>
      <vt:lpstr>Petunjuk</vt:lpstr>
      <vt:lpstr>'Kolom target lain'!Print_Titles</vt:lpstr>
      <vt:lpstr>'Peta S2T'!Print_Titles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IBNU SOFYAN</cp:lastModifiedBy>
  <dcterms:created xsi:type="dcterms:W3CDTF">2026-10-18T17:51:30Z</dcterms:created>
  <dcterms:modified xsi:type="dcterms:W3CDTF">2026-10-18T17:51:47Z</dcterms:modified>
</cp:coreProperties>
</file>